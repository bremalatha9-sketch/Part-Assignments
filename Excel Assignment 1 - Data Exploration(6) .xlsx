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yanr\Downloads\Latha\"/>
    </mc:Choice>
  </mc:AlternateContent>
  <xr:revisionPtr revIDLastSave="0" documentId="8_{433A3F2C-A456-401C-B28A-24BC0B7DD4C5}" xr6:coauthVersionLast="47" xr6:coauthVersionMax="47" xr10:uidLastSave="{00000000-0000-0000-0000-000000000000}"/>
  <bookViews>
    <workbookView xWindow="735" yWindow="735" windowWidth="24165" windowHeight="14490" xr2:uid="{00000000-000D-0000-FFFF-FFFF00000000}"/>
  </bookViews>
  <sheets>
    <sheet name=" DATASET AND SUMMARY SHEET" sheetId="1" r:id="rId1"/>
    <sheet name="Observ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Q25" i="1" l="1"/>
  <c r="Q23" i="1"/>
  <c r="Q10" i="1"/>
  <c r="Q8" i="1"/>
  <c r="K2" i="1" a="1"/>
  <c r="K2" i="1" s="1"/>
  <c r="J2" i="1" a="1"/>
  <c r="J2" i="1" s="1"/>
  <c r="H2" i="1" a="1"/>
  <c r="H2" i="1" s="1"/>
  <c r="Q12" i="1"/>
  <c r="Q17" i="1"/>
  <c r="Q19" i="1"/>
  <c r="I2" i="1" a="1"/>
  <c r="I2" i="1" s="1"/>
  <c r="E104857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<sst xmlns="http://schemas.openxmlformats.org/spreadsheetml/2006/main" count="187" uniqueCount="135">
  <si>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</si>
  <si>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</si>
  <si>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</si>
  <si>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</si>
  <si>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</si>
  <si>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</si>
  <si>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</si>
  <si>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</si>
  <si>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</si>
  <si>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</si>
  <si>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</si>
  <si>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</si>
  <si>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</si>
  <si>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</si>
  <si>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</si>
  <si>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</si>
  <si>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</si>
  <si>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</si>
  <si>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</si>
  <si>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</si>
  <si>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</si>
  <si>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</si>
  <si>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</si>
  <si>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</si>
  <si>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</si>
  <si>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</si>
  <si>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</si>
  <si>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</si>
  <si>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</si>
  <si>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</si>
  <si>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</si>
  <si>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</si>
  <si>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</si>
  <si>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</si>
  <si>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</si>
  <si>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</si>
  <si>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</si>
  <si>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</si>
  <si>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</si>
  <si>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</si>
  <si>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</si>
  <si>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</si>
  <si>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</si>
  <si>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</si>
  <si>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</si>
  <si>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</si>
  <si>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</si>
  <si>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</si>
  <si>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</si>
  <si>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</si>
  <si>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</si>
  <si>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</si>
  <si>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</si>
  <si>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</si>
  <si>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</si>
  <si>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</si>
  <si>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</si>
  <si>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</si>
  <si>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</si>
  <si>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</si>
  <si>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</si>
  <si>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</si>
  <si>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</si>
  <si>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</si>
  <si>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</si>
  <si>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</si>
  <si>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</si>
  <si>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</si>
  <si>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</si>
  <si>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</si>
  <si>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</si>
  <si>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</si>
  <si>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</si>
  <si>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</si>
  <si>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</si>
  <si>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</si>
  <si>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</si>
  <si>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</si>
  <si>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</si>
  <si>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</si>
  <si>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</si>
  <si>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</si>
  <si>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</si>
  <si>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</si>
  <si>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</si>
  <si>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</si>
  <si>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</si>
  <si>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</si>
  <si>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</si>
  <si>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</si>
  <si>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</si>
  <si>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</si>
  <si>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</si>
  <si>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Using SUM(),AVERAGE() and COUNT()</t>
  </si>
  <si>
    <t>The total price of all products</t>
  </si>
  <si>
    <t>The number of  products exist in the dataset.</t>
  </si>
  <si>
    <t>Minimum and Maximum Values</t>
  </si>
  <si>
    <t>The Minimum Price of all the Product</t>
  </si>
  <si>
    <t xml:space="preserve">The Maximum Price of all </t>
  </si>
  <si>
    <t>. Conditional Functions SUMIF and COUNTIF</t>
  </si>
  <si>
    <t>The average price of the products.</t>
  </si>
  <si>
    <t>The total price of products in the Electronics category.</t>
  </si>
  <si>
    <t>The number of products with a price less than $100.</t>
  </si>
  <si>
    <t>Price Range</t>
  </si>
  <si>
    <t>Day</t>
  </si>
  <si>
    <t>Month</t>
  </si>
  <si>
    <t>No.of Product</t>
  </si>
  <si>
    <t>Logical Function – IF</t>
  </si>
  <si>
    <t>5. Text Formatting – LEFT, RIGHT, MID</t>
  </si>
  <si>
    <r>
      <t xml:space="preserve">Price Range: </t>
    </r>
    <r>
      <rPr>
        <sz val="11"/>
        <color rgb="FF000000"/>
        <rFont val="Arial Unicode MS"/>
      </rPr>
      <t>=IF(F2&gt;=500,"High Price","Standard Price")</t>
    </r>
  </si>
  <si>
    <r>
      <t xml:space="preserve">Day: </t>
    </r>
    <r>
      <rPr>
        <sz val="11"/>
        <color rgb="FF000000"/>
        <rFont val="Arial Unicode MS"/>
      </rPr>
      <t>=LEFT(A2,2)</t>
    </r>
  </si>
  <si>
    <r>
      <t xml:space="preserve">Month: </t>
    </r>
    <r>
      <rPr>
        <sz val="11"/>
        <color rgb="FF000000"/>
        <rFont val="Arial Unicode MS"/>
      </rPr>
      <t>=MID(A2,4,3)</t>
    </r>
  </si>
  <si>
    <r>
      <t xml:space="preserve">Country Code: </t>
    </r>
    <r>
      <rPr>
        <sz val="11"/>
        <color rgb="FF000000"/>
        <rFont val="Arial Unicode MS"/>
      </rPr>
      <t>=RIGHT(A2,2)</t>
    </r>
  </si>
  <si>
    <t>*</t>
  </si>
  <si>
    <t>using =SUM(E2:E35)</t>
  </si>
  <si>
    <t>Using  =COUNT(A2:A35)</t>
  </si>
  <si>
    <t>Using =Average(E2:E35)</t>
  </si>
  <si>
    <t>Using =SUMIF(G2:G35,"Electronics",E2:E35)</t>
  </si>
  <si>
    <t>Using =COUNTIF(E2:E35,"&lt;100")</t>
  </si>
  <si>
    <t>Using =MIN(E2:E35)</t>
  </si>
  <si>
    <t>Using =MAX(E2:E35)</t>
  </si>
  <si>
    <t>Formala used</t>
  </si>
  <si>
    <t>SUMMARY SHEET</t>
  </si>
  <si>
    <t>The dataset contains 34 products from multiple categories.</t>
  </si>
  <si>
    <t>Excel functions such as SUM, COUNT, AVERAGE, MIN, MAX, IF, SUMIF, COUNTIF, LEFT, MID, and RIGHT were successfully applied.</t>
  </si>
  <si>
    <r>
      <t>Day</t>
    </r>
    <r>
      <rPr>
        <sz val="12"/>
        <color rgb="FF000000"/>
        <rFont val="Arial"/>
        <family val="2"/>
        <scheme val="minor"/>
      </rPr>
      <t xml:space="preserve"> = First 2 characters of Product ID (LEFT)</t>
    </r>
  </si>
  <si>
    <r>
      <t>Month</t>
    </r>
    <r>
      <rPr>
        <sz val="12"/>
        <color rgb="FF000000"/>
        <rFont val="Arial"/>
        <family val="2"/>
        <scheme val="minor"/>
      </rPr>
      <t xml:space="preserve"> = Characters 4–6 of Product ID (MID)</t>
    </r>
  </si>
  <si>
    <r>
      <t>Country Code</t>
    </r>
    <r>
      <rPr>
        <sz val="12"/>
        <color rgb="FF000000"/>
        <rFont val="Arial"/>
        <family val="2"/>
        <scheme val="minor"/>
      </rPr>
      <t xml:space="preserve"> = Last 2 characters of Product ID (RIGHT)</t>
    </r>
  </si>
  <si>
    <t>The total value of all product prices is $10,100. used  Formala =SUM()</t>
  </si>
  <si>
    <t>The highest-priced product costs $1000. Used Formala MAX()</t>
  </si>
  <si>
    <t>The average product price is $297.06.  Used Formala AVERAGE()</t>
  </si>
  <si>
    <t>The lowest-priced product costs $30. Used Formala MIN()</t>
  </si>
  <si>
    <t>Electronics products contribute the highest total price value ($8,050). Used Formala SUMIF()</t>
  </si>
  <si>
    <t>There are 11 products priced below $100. Used Formala COUNTIF()</t>
  </si>
  <si>
    <t>OBSERVATIONS of Excel Assignment 1 – Data 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</si>
</sst>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0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1"/>
      <color rgb="FF000000"/>
      <name val="Arial Unicode MS"/>
    </font>
    <font>
      <b/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4DD0E1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/>
    <xf numFmtId="164" fontId="2" fillId="3" borderId="1" xfId="0" applyNumberFormat="1" applyFont="1" applyFill="1" applyBorder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7" xfId="0" applyFont="1" applyBorder="1"/>
    <xf numFmtId="0" fontId="2" fillId="3" borderId="7" xfId="0" applyFont="1" applyFill="1" applyBorder="1"/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5" borderId="8" xfId="0" applyFill="1" applyBorder="1"/>
    <xf numFmtId="0" fontId="0" fillId="5" borderId="2" xfId="0" applyFill="1" applyBorder="1"/>
    <xf numFmtId="0" fontId="4" fillId="5" borderId="2" xfId="0" applyFont="1" applyFill="1" applyBorder="1"/>
    <xf numFmtId="0" fontId="0" fillId="5" borderId="3" xfId="0" applyFill="1" applyBorder="1"/>
    <xf numFmtId="0" fontId="0" fillId="5" borderId="9" xfId="0" applyFill="1" applyBorder="1"/>
    <xf numFmtId="0" fontId="0" fillId="5" borderId="0" xfId="0" applyFill="1"/>
    <xf numFmtId="0" fontId="0" fillId="5" borderId="4" xfId="0" applyFill="1" applyBorder="1"/>
    <xf numFmtId="0" fontId="4" fillId="5" borderId="0" xfId="0" applyFont="1" applyFill="1"/>
    <xf numFmtId="0" fontId="9" fillId="5" borderId="0" xfId="0" applyFont="1" applyFill="1"/>
    <xf numFmtId="0" fontId="0" fillId="5" borderId="1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11" xfId="0" applyFill="1" applyBorder="1"/>
    <xf numFmtId="0" fontId="4" fillId="5" borderId="12" xfId="0" applyFont="1" applyFill="1" applyBorder="1"/>
    <xf numFmtId="0" fontId="0" fillId="5" borderId="12" xfId="0" applyFill="1" applyBorder="1"/>
    <xf numFmtId="0" fontId="3" fillId="5" borderId="17" xfId="0" applyFont="1" applyFill="1" applyBorder="1" applyAlignment="1">
      <alignment horizontal="center"/>
    </xf>
    <xf numFmtId="0" fontId="0" fillId="5" borderId="13" xfId="0" applyFill="1" applyBorder="1"/>
    <xf numFmtId="0" fontId="0" fillId="5" borderId="4" xfId="0" applyFill="1" applyBorder="1" applyAlignment="1">
      <alignment horizontal="center"/>
    </xf>
    <xf numFmtId="0" fontId="3" fillId="5" borderId="0" xfId="0" applyFont="1" applyFill="1"/>
    <xf numFmtId="164" fontId="0" fillId="5" borderId="0" xfId="0" applyNumberFormat="1" applyFill="1"/>
    <xf numFmtId="0" fontId="5" fillId="5" borderId="4" xfId="0" applyFont="1" applyFill="1" applyBorder="1" applyAlignment="1">
      <alignment horizontal="center"/>
    </xf>
    <xf numFmtId="0" fontId="6" fillId="5" borderId="0" xfId="0" applyFont="1" applyFill="1"/>
    <xf numFmtId="0" fontId="0" fillId="5" borderId="14" xfId="0" applyFill="1" applyBorder="1"/>
    <xf numFmtId="0" fontId="6" fillId="5" borderId="5" xfId="0" applyFont="1" applyFill="1" applyBorder="1"/>
    <xf numFmtId="0" fontId="5" fillId="5" borderId="6" xfId="0" applyFont="1" applyFill="1" applyBorder="1" applyAlignment="1">
      <alignment horizontal="center"/>
    </xf>
    <xf numFmtId="0" fontId="6" fillId="5" borderId="13" xfId="0" applyFont="1" applyFill="1" applyBorder="1"/>
    <xf numFmtId="0" fontId="6" fillId="5" borderId="13" xfId="0" applyFont="1" applyFill="1" applyBorder="1" applyAlignment="1">
      <alignment vertical="center"/>
    </xf>
    <xf numFmtId="0" fontId="6" fillId="5" borderId="13" xfId="0" applyFont="1" applyFill="1" applyBorder="1" applyAlignment="1">
      <alignment horizontal="right"/>
    </xf>
    <xf numFmtId="0" fontId="6" fillId="5" borderId="0" xfId="0" applyFont="1" applyFill="1" applyAlignment="1">
      <alignment horizontal="left" vertical="center" indent="1"/>
    </xf>
    <xf numFmtId="0" fontId="6" fillId="5" borderId="15" xfId="0" applyFont="1" applyFill="1" applyBorder="1" applyAlignment="1">
      <alignment horizontal="right"/>
    </xf>
    <xf numFmtId="0" fontId="6" fillId="5" borderId="16" xfId="0" applyFont="1" applyFill="1" applyBorder="1" applyAlignment="1">
      <alignment horizontal="left" vertical="center" indent="1"/>
    </xf>
    <xf numFmtId="0" fontId="6" fillId="5" borderId="16" xfId="0" applyFont="1" applyFill="1" applyBorder="1"/>
    <xf numFmtId="0" fontId="0" fillId="5" borderId="16" xfId="0" applyFill="1" applyBorder="1"/>
    <xf numFmtId="0" fontId="0" fillId="5" borderId="18" xfId="0" applyFill="1" applyBorder="1"/>
    <xf numFmtId="0" fontId="4" fillId="6" borderId="0" xfId="0" applyFont="1" applyFill="1"/>
    <xf numFmtId="0" fontId="7" fillId="7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409]* #,##0.00_ ;_-[$$-409]* \-#,##0.00\ ;_-[$$-409]* &quot;-&quot;??_ ;_-@_ 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2166E-4252-4B1D-AB6A-7CE62C1CBB20}" name="Table1" displayName="Table1" ref="A1:G35" totalsRowShown="0" headerRowDxfId="9" dataDxfId="8" tableBorderDxfId="7">
  <autoFilter ref="A1:G35" xr:uid="{AF92166E-4252-4B1D-AB6A-7CE62C1CBB20}"/>
  <tableColumns count="7">
    <tableColumn id="1" xr3:uid="{EE0CE448-15FF-4688-837D-B73AD3655BF7}" name="No.of Product" dataDxfId="6"/>
    <tableColumn id="2" xr3:uid="{43B3DD67-4573-409C-8A8F-815B02836EB5}" name="Product ID" dataDxfId="5"/>
    <tableColumn id="3" xr3:uid="{43B5BC1E-28BF-4D90-8F29-6CD440E52593}" name="Product Name" dataDxfId="4"/>
    <tableColumn id="4" xr3:uid="{0FE6404B-FA87-48AB-990A-398A9FDD7F9C}" name="Brand Name" dataDxfId="3"/>
    <tableColumn id="5" xr3:uid="{B9B4A1E4-DF3B-45DF-B921-DF7359871E99}" name="Price ($)" dataDxfId="2"/>
    <tableColumn id="6" xr3:uid="{7A078998-8467-44D9-88BE-907F6A35E6BC}" name="Quantity" dataDxfId="1"/>
    <tableColumn id="7" xr3:uid="{5A65E23E-3BD2-444A-9D8B-0D73B1BF9283}" name="Catego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48576"/>
  <sheetViews>
    <sheetView tabSelected="1" topLeftCell="E1" workbookViewId="0">
      <selection activeCell="M40" sqref="M40"/>
    </sheetView>
  </sheetViews>
  <sheetFormatPr defaultColWidth="12.5703125" defaultRowHeight="15" customHeight="1"/>
  <cols>
    <col min="1" max="1" width="15.42578125" style="13" customWidth="1"/>
    <col min="3" max="3" width="16" customWidth="1"/>
    <col min="4" max="4" width="14.42578125" customWidth="1"/>
    <col min="5" max="5" width="12.5703125" style="8"/>
    <col min="8" max="8" width="13.42578125" bestFit="1" customWidth="1"/>
    <col min="9" max="11" width="12.5703125" style="13"/>
    <col min="18" max="18" width="38.28515625" customWidth="1"/>
  </cols>
  <sheetData>
    <row r="1" spans="1:18" ht="15.75" customHeight="1">
      <c r="A1" s="14" t="s">
        <v>106</v>
      </c>
      <c r="B1" s="1" t="s">
        <v>0</v>
      </c>
      <c r="C1" s="1" t="s">
        <v>1</v>
      </c>
      <c r="D1" s="1" t="s">
        <v>2</v>
      </c>
      <c r="E1" s="5" t="s">
        <v>3</v>
      </c>
      <c r="F1" s="1" t="s">
        <v>4</v>
      </c>
      <c r="G1" s="15" t="s">
        <v>5</v>
      </c>
      <c r="H1" s="18" t="s">
        <v>103</v>
      </c>
      <c r="I1" s="56" t="s">
        <v>104</v>
      </c>
      <c r="J1" s="56" t="s">
        <v>105</v>
      </c>
      <c r="K1" s="56" t="s">
        <v>0</v>
      </c>
    </row>
    <row r="2" spans="1:18" ht="15.75" customHeight="1">
      <c r="A2" s="13">
        <v>1</v>
      </c>
      <c r="B2" s="2" t="s">
        <v>6</v>
      </c>
      <c r="C2" s="2" t="s">
        <v>7</v>
      </c>
      <c r="D2" s="2" t="s">
        <v>8</v>
      </c>
      <c r="E2" s="6">
        <v>1000</v>
      </c>
      <c r="F2" s="2">
        <v>30</v>
      </c>
      <c r="G2" s="16" t="s">
        <v>9</v>
      </c>
      <c r="H2" s="2" t="str" cm="1">
        <f t="array" ref="H2:H35">IF(E2:E35&gt;=500,"High Price","Standard Price")</f>
        <v>High Price</v>
      </c>
      <c r="I2" s="57" t="str" cm="1">
        <f t="array" ref="I2:I501">LEFT(B2:B501,2)</f>
        <v>28</v>
      </c>
      <c r="J2" s="57" t="str" cm="1">
        <f t="array" ref="J2:J35">MID(B2:B35,4,3)</f>
        <v>JAN</v>
      </c>
      <c r="K2" s="57" t="str" cm="1">
        <f t="array" ref="K2:K35">RIGHT(B2:B35,2)</f>
        <v>US</v>
      </c>
    </row>
    <row r="3" spans="1:18" ht="15.75" customHeight="1">
      <c r="A3" s="13">
        <v>2</v>
      </c>
      <c r="B3" s="3" t="s">
        <v>10</v>
      </c>
      <c r="C3" s="3" t="s">
        <v>11</v>
      </c>
      <c r="D3" s="3" t="s">
        <v>12</v>
      </c>
      <c r="E3" s="7">
        <v>80</v>
      </c>
      <c r="F3" s="3">
        <v>15</v>
      </c>
      <c r="G3" s="17" t="s">
        <v>13</v>
      </c>
      <c r="H3" s="2" t="str">
        <v>Standard Price</v>
      </c>
      <c r="I3" s="57" t="str">
        <v>15</v>
      </c>
      <c r="J3" s="57" t="str">
        <v>FEB</v>
      </c>
      <c r="K3" s="57" t="str">
        <v>US</v>
      </c>
      <c r="P3" s="55" t="s">
        <v>122</v>
      </c>
    </row>
    <row r="4" spans="1:18" ht="15.75" customHeight="1">
      <c r="A4" s="13">
        <v>3</v>
      </c>
      <c r="B4" s="2" t="s">
        <v>14</v>
      </c>
      <c r="C4" s="2" t="s">
        <v>15</v>
      </c>
      <c r="D4" s="2" t="s">
        <v>16</v>
      </c>
      <c r="E4" s="6">
        <v>130</v>
      </c>
      <c r="F4" s="2">
        <v>40</v>
      </c>
      <c r="G4" s="16" t="s">
        <v>17</v>
      </c>
      <c r="H4" s="2" t="str">
        <v>Standard Price</v>
      </c>
      <c r="I4" s="57" t="str">
        <v>03</v>
      </c>
      <c r="J4" s="57" t="str">
        <v>MAR</v>
      </c>
      <c r="K4" s="57" t="str">
        <v>US</v>
      </c>
    </row>
    <row r="5" spans="1:18" ht="15.75" customHeight="1" thickBot="1">
      <c r="A5" s="13">
        <v>4</v>
      </c>
      <c r="B5" s="3" t="s">
        <v>18</v>
      </c>
      <c r="C5" s="3" t="s">
        <v>19</v>
      </c>
      <c r="D5" s="3" t="s">
        <v>20</v>
      </c>
      <c r="E5" s="7">
        <v>900</v>
      </c>
      <c r="F5" s="3">
        <v>25</v>
      </c>
      <c r="G5" s="17" t="s">
        <v>9</v>
      </c>
      <c r="H5" s="2" t="str">
        <v>High Price</v>
      </c>
      <c r="I5" s="57" t="str">
        <v>11</v>
      </c>
      <c r="J5" s="57" t="str">
        <v>APR</v>
      </c>
      <c r="K5" s="57" t="str">
        <v>US</v>
      </c>
    </row>
    <row r="6" spans="1:18" ht="15.75" customHeight="1">
      <c r="A6" s="13">
        <v>5</v>
      </c>
      <c r="B6" s="2" t="s">
        <v>21</v>
      </c>
      <c r="C6" s="2" t="s">
        <v>22</v>
      </c>
      <c r="D6" s="2" t="s">
        <v>23</v>
      </c>
      <c r="E6" s="6">
        <v>70</v>
      </c>
      <c r="F6" s="2">
        <v>20</v>
      </c>
      <c r="G6" s="16" t="s">
        <v>24</v>
      </c>
      <c r="H6" s="2" t="str">
        <v>Standard Price</v>
      </c>
      <c r="I6" s="57" t="str">
        <v>22</v>
      </c>
      <c r="J6" s="57" t="str">
        <v>MAY</v>
      </c>
      <c r="K6" s="58" t="str">
        <v>US</v>
      </c>
      <c r="L6" s="33">
        <v>1</v>
      </c>
      <c r="M6" s="34" t="s">
        <v>93</v>
      </c>
      <c r="N6" s="35"/>
      <c r="O6" s="35"/>
      <c r="P6" s="35"/>
      <c r="Q6" s="35"/>
      <c r="R6" s="36" t="s">
        <v>121</v>
      </c>
    </row>
    <row r="7" spans="1:18" ht="15.75" customHeight="1">
      <c r="A7" s="13">
        <v>6</v>
      </c>
      <c r="B7" s="3" t="s">
        <v>25</v>
      </c>
      <c r="C7" s="3" t="s">
        <v>26</v>
      </c>
      <c r="D7" s="3" t="s">
        <v>27</v>
      </c>
      <c r="E7" s="7">
        <v>200</v>
      </c>
      <c r="F7" s="3">
        <v>45</v>
      </c>
      <c r="G7" s="17" t="s">
        <v>9</v>
      </c>
      <c r="H7" s="2" t="str">
        <v>Standard Price</v>
      </c>
      <c r="I7" s="57" t="str">
        <v>07</v>
      </c>
      <c r="J7" s="57" t="str">
        <v>JUN</v>
      </c>
      <c r="K7" s="58" t="str">
        <v>UK</v>
      </c>
      <c r="L7" s="37"/>
      <c r="M7" s="26"/>
      <c r="N7" s="26"/>
      <c r="O7" s="26"/>
      <c r="P7" s="26"/>
      <c r="Q7" s="26"/>
      <c r="R7" s="38"/>
    </row>
    <row r="8" spans="1:18" ht="15.75" customHeight="1">
      <c r="A8" s="13">
        <v>7</v>
      </c>
      <c r="B8" s="2" t="s">
        <v>28</v>
      </c>
      <c r="C8" s="2" t="s">
        <v>29</v>
      </c>
      <c r="D8" s="2" t="s">
        <v>30</v>
      </c>
      <c r="E8" s="6">
        <v>30</v>
      </c>
      <c r="F8" s="2">
        <v>5</v>
      </c>
      <c r="G8" s="16" t="s">
        <v>13</v>
      </c>
      <c r="H8" s="2" t="str">
        <v>Standard Price</v>
      </c>
      <c r="I8" s="57" t="str">
        <v>19</v>
      </c>
      <c r="J8" s="57" t="str">
        <v>JUL</v>
      </c>
      <c r="K8" s="58" t="str">
        <v>UK</v>
      </c>
      <c r="L8" s="37"/>
      <c r="M8" s="39" t="s">
        <v>94</v>
      </c>
      <c r="N8" s="26"/>
      <c r="O8" s="26"/>
      <c r="P8" s="26"/>
      <c r="Q8" s="40">
        <f>SUM(E2:E35)</f>
        <v>10100</v>
      </c>
      <c r="R8" s="41" t="s">
        <v>114</v>
      </c>
    </row>
    <row r="9" spans="1:18" ht="15.75" customHeight="1">
      <c r="A9" s="13">
        <v>8</v>
      </c>
      <c r="B9" s="3" t="s">
        <v>31</v>
      </c>
      <c r="C9" s="3" t="s">
        <v>32</v>
      </c>
      <c r="D9" s="3" t="s">
        <v>33</v>
      </c>
      <c r="E9" s="7">
        <v>90</v>
      </c>
      <c r="F9" s="3">
        <v>35</v>
      </c>
      <c r="G9" s="17" t="s">
        <v>17</v>
      </c>
      <c r="H9" s="2" t="str">
        <v>Standard Price</v>
      </c>
      <c r="I9" s="57" t="str">
        <v>23</v>
      </c>
      <c r="J9" s="57" t="str">
        <v>AUG</v>
      </c>
      <c r="K9" s="58" t="str">
        <v>UK</v>
      </c>
      <c r="L9" s="37"/>
      <c r="M9" s="26"/>
      <c r="N9" s="26"/>
      <c r="O9" s="26"/>
      <c r="P9" s="26"/>
      <c r="Q9" s="26"/>
      <c r="R9" s="38"/>
    </row>
    <row r="10" spans="1:18" ht="15.75" customHeight="1">
      <c r="A10" s="13">
        <v>9</v>
      </c>
      <c r="B10" s="2" t="s">
        <v>34</v>
      </c>
      <c r="C10" s="2" t="s">
        <v>35</v>
      </c>
      <c r="D10" s="2" t="s">
        <v>36</v>
      </c>
      <c r="E10" s="6">
        <v>500</v>
      </c>
      <c r="F10" s="2">
        <v>50</v>
      </c>
      <c r="G10" s="16" t="s">
        <v>9</v>
      </c>
      <c r="H10" s="2" t="str">
        <v>High Price</v>
      </c>
      <c r="I10" s="57" t="str">
        <v>05</v>
      </c>
      <c r="J10" s="57" t="str">
        <v>SEP</v>
      </c>
      <c r="K10" s="58" t="str">
        <v>UK</v>
      </c>
      <c r="L10" s="37"/>
      <c r="M10" s="39" t="s">
        <v>95</v>
      </c>
      <c r="N10" s="26"/>
      <c r="O10" s="26"/>
      <c r="P10" s="26"/>
      <c r="Q10" s="26">
        <f>COUNT(A2:A35)</f>
        <v>34</v>
      </c>
      <c r="R10" s="41" t="s">
        <v>115</v>
      </c>
    </row>
    <row r="11" spans="1:18" ht="15.75" customHeight="1">
      <c r="A11" s="13">
        <v>10</v>
      </c>
      <c r="B11" s="3" t="s">
        <v>37</v>
      </c>
      <c r="C11" s="3" t="s">
        <v>38</v>
      </c>
      <c r="D11" s="3" t="s">
        <v>39</v>
      </c>
      <c r="E11" s="7">
        <v>130</v>
      </c>
      <c r="F11" s="3">
        <v>10</v>
      </c>
      <c r="G11" s="17" t="s">
        <v>24</v>
      </c>
      <c r="H11" s="2" t="str">
        <v>Standard Price</v>
      </c>
      <c r="I11" s="57" t="str">
        <v>14</v>
      </c>
      <c r="J11" s="57" t="str">
        <v>OCT</v>
      </c>
      <c r="K11" s="58" t="str">
        <v>UK</v>
      </c>
      <c r="L11" s="37"/>
      <c r="M11" s="26"/>
      <c r="N11" s="26"/>
      <c r="O11" s="26"/>
      <c r="P11" s="26"/>
      <c r="Q11" s="26"/>
      <c r="R11" s="38"/>
    </row>
    <row r="12" spans="1:18" ht="15.75" customHeight="1">
      <c r="A12" s="13">
        <v>11</v>
      </c>
      <c r="B12" s="2" t="s">
        <v>40</v>
      </c>
      <c r="C12" s="2" t="s">
        <v>7</v>
      </c>
      <c r="D12" s="2" t="s">
        <v>41</v>
      </c>
      <c r="E12" s="6">
        <v>950</v>
      </c>
      <c r="F12" s="2">
        <v>25</v>
      </c>
      <c r="G12" s="16" t="s">
        <v>9</v>
      </c>
      <c r="H12" s="2" t="str">
        <v>High Price</v>
      </c>
      <c r="I12" s="57" t="str">
        <v>17</v>
      </c>
      <c r="J12" s="57" t="str">
        <v>JUN</v>
      </c>
      <c r="K12" s="58" t="str">
        <v>IN</v>
      </c>
      <c r="L12" s="37"/>
      <c r="M12" s="39" t="s">
        <v>100</v>
      </c>
      <c r="N12" s="26"/>
      <c r="O12" s="26"/>
      <c r="P12" s="26"/>
      <c r="Q12" s="40">
        <f>AVERAGE(E2:E35)</f>
        <v>297.05882352941177</v>
      </c>
      <c r="R12" s="41" t="s">
        <v>116</v>
      </c>
    </row>
    <row r="13" spans="1:18" ht="15.75" customHeight="1">
      <c r="A13" s="13">
        <v>12</v>
      </c>
      <c r="B13" s="3" t="s">
        <v>42</v>
      </c>
      <c r="C13" s="3" t="s">
        <v>11</v>
      </c>
      <c r="D13" s="3" t="s">
        <v>30</v>
      </c>
      <c r="E13" s="7">
        <v>90</v>
      </c>
      <c r="F13" s="3">
        <v>40</v>
      </c>
      <c r="G13" s="17" t="s">
        <v>13</v>
      </c>
      <c r="H13" s="2" t="str">
        <v>Standard Price</v>
      </c>
      <c r="I13" s="57" t="str">
        <v>25</v>
      </c>
      <c r="J13" s="57" t="str">
        <v>NOV</v>
      </c>
      <c r="K13" s="58" t="str">
        <v>AU</v>
      </c>
      <c r="L13" s="37"/>
      <c r="M13" s="26"/>
      <c r="N13" s="26"/>
      <c r="O13" s="26"/>
      <c r="P13" s="26"/>
      <c r="Q13" s="26"/>
      <c r="R13" s="38"/>
    </row>
    <row r="14" spans="1:18" ht="15.75" customHeight="1">
      <c r="A14" s="13">
        <v>13</v>
      </c>
      <c r="B14" s="2" t="s">
        <v>43</v>
      </c>
      <c r="C14" s="2" t="s">
        <v>15</v>
      </c>
      <c r="D14" s="2" t="s">
        <v>44</v>
      </c>
      <c r="E14" s="6">
        <v>120</v>
      </c>
      <c r="F14" s="2">
        <v>35</v>
      </c>
      <c r="G14" s="16" t="s">
        <v>17</v>
      </c>
      <c r="H14" s="2" t="str">
        <v>Standard Price</v>
      </c>
      <c r="I14" s="57" t="str">
        <v>08</v>
      </c>
      <c r="J14" s="57" t="str">
        <v>DEC</v>
      </c>
      <c r="K14" s="58" t="str">
        <v>DE</v>
      </c>
      <c r="L14" s="37"/>
      <c r="M14" s="26"/>
      <c r="N14" s="26"/>
      <c r="O14" s="26"/>
      <c r="P14" s="26"/>
      <c r="Q14" s="26"/>
      <c r="R14" s="38"/>
    </row>
    <row r="15" spans="1:18" ht="15.75" customHeight="1">
      <c r="A15" s="13">
        <v>14</v>
      </c>
      <c r="B15" s="3" t="s">
        <v>45</v>
      </c>
      <c r="C15" s="3" t="s">
        <v>46</v>
      </c>
      <c r="D15" s="3" t="s">
        <v>47</v>
      </c>
      <c r="E15" s="7">
        <v>150</v>
      </c>
      <c r="F15" s="3">
        <v>15</v>
      </c>
      <c r="G15" s="17" t="s">
        <v>9</v>
      </c>
      <c r="H15" s="2" t="str">
        <v>Standard Price</v>
      </c>
      <c r="I15" s="57" t="str">
        <v>18</v>
      </c>
      <c r="J15" s="57" t="str">
        <v>FEB</v>
      </c>
      <c r="K15" s="58" t="str">
        <v>CA</v>
      </c>
      <c r="L15" s="37">
        <v>2</v>
      </c>
      <c r="M15" s="28" t="s">
        <v>96</v>
      </c>
      <c r="N15" s="26"/>
      <c r="O15" s="26"/>
      <c r="P15" s="26"/>
      <c r="Q15" s="26"/>
      <c r="R15" s="38"/>
    </row>
    <row r="16" spans="1:18" ht="15.75" customHeight="1">
      <c r="A16" s="13">
        <v>15</v>
      </c>
      <c r="B16" s="2" t="s">
        <v>48</v>
      </c>
      <c r="C16" s="2" t="s">
        <v>26</v>
      </c>
      <c r="D16" s="2" t="s">
        <v>49</v>
      </c>
      <c r="E16" s="6">
        <v>250</v>
      </c>
      <c r="F16" s="2">
        <v>20</v>
      </c>
      <c r="G16" s="16" t="s">
        <v>9</v>
      </c>
      <c r="H16" s="2" t="str">
        <v>Standard Price</v>
      </c>
      <c r="I16" s="57" t="str">
        <v>16</v>
      </c>
      <c r="J16" s="57" t="str">
        <v>APR</v>
      </c>
      <c r="K16" s="58" t="str">
        <v>ES</v>
      </c>
      <c r="L16" s="37"/>
      <c r="M16" s="26"/>
      <c r="N16" s="26"/>
      <c r="O16" s="26"/>
      <c r="P16" s="26"/>
      <c r="Q16" s="26"/>
      <c r="R16" s="38"/>
    </row>
    <row r="17" spans="1:18" ht="15.75" customHeight="1">
      <c r="A17" s="13">
        <v>16</v>
      </c>
      <c r="B17" s="3" t="s">
        <v>50</v>
      </c>
      <c r="C17" s="3" t="s">
        <v>51</v>
      </c>
      <c r="D17" s="3" t="s">
        <v>52</v>
      </c>
      <c r="E17" s="7">
        <v>50</v>
      </c>
      <c r="F17" s="3">
        <v>35</v>
      </c>
      <c r="G17" s="17" t="s">
        <v>53</v>
      </c>
      <c r="H17" s="2" t="str">
        <v>Standard Price</v>
      </c>
      <c r="I17" s="57" t="str">
        <v>21</v>
      </c>
      <c r="J17" s="57" t="str">
        <v>AUG</v>
      </c>
      <c r="K17" s="58" t="str">
        <v>CA</v>
      </c>
      <c r="L17" s="37"/>
      <c r="M17" s="39" t="s">
        <v>97</v>
      </c>
      <c r="N17" s="26"/>
      <c r="O17" s="26"/>
      <c r="P17" s="26"/>
      <c r="Q17" s="40">
        <f>MIN(E2:E35)</f>
        <v>30</v>
      </c>
      <c r="R17" s="41" t="s">
        <v>119</v>
      </c>
    </row>
    <row r="18" spans="1:18" ht="15.75" customHeight="1">
      <c r="A18" s="13">
        <v>17</v>
      </c>
      <c r="B18" s="2" t="s">
        <v>54</v>
      </c>
      <c r="C18" s="2" t="s">
        <v>46</v>
      </c>
      <c r="D18" s="2" t="s">
        <v>55</v>
      </c>
      <c r="E18" s="6">
        <v>160</v>
      </c>
      <c r="F18" s="2">
        <v>15</v>
      </c>
      <c r="G18" s="16" t="s">
        <v>9</v>
      </c>
      <c r="H18" s="2" t="str">
        <v>Standard Price</v>
      </c>
      <c r="I18" s="57" t="str">
        <v>20</v>
      </c>
      <c r="J18" s="57" t="str">
        <v>AUG</v>
      </c>
      <c r="K18" s="58" t="str">
        <v>CN</v>
      </c>
      <c r="L18" s="37"/>
      <c r="M18" s="26"/>
      <c r="N18" s="26"/>
      <c r="O18" s="26"/>
      <c r="P18" s="26"/>
      <c r="Q18" s="26"/>
      <c r="R18" s="38"/>
    </row>
    <row r="19" spans="1:18" ht="15.75" customHeight="1">
      <c r="A19" s="13">
        <v>18</v>
      </c>
      <c r="B19" s="3" t="s">
        <v>56</v>
      </c>
      <c r="C19" s="3" t="s">
        <v>7</v>
      </c>
      <c r="D19" s="3" t="s">
        <v>57</v>
      </c>
      <c r="E19" s="7">
        <v>980</v>
      </c>
      <c r="F19" s="3">
        <v>10</v>
      </c>
      <c r="G19" s="17" t="s">
        <v>9</v>
      </c>
      <c r="H19" s="2" t="str">
        <v>High Price</v>
      </c>
      <c r="I19" s="57" t="str">
        <v>27</v>
      </c>
      <c r="J19" s="57" t="str">
        <v>JAN</v>
      </c>
      <c r="K19" s="58" t="str">
        <v>IT</v>
      </c>
      <c r="L19" s="37"/>
      <c r="M19" s="39" t="s">
        <v>98</v>
      </c>
      <c r="N19" s="26"/>
      <c r="O19" s="26"/>
      <c r="P19" s="26"/>
      <c r="Q19" s="40">
        <f>MAX(E2:E35)</f>
        <v>1000</v>
      </c>
      <c r="R19" s="41" t="s">
        <v>120</v>
      </c>
    </row>
    <row r="20" spans="1:18" ht="15.75" customHeight="1">
      <c r="A20" s="13">
        <v>19</v>
      </c>
      <c r="B20" s="2" t="s">
        <v>58</v>
      </c>
      <c r="C20" s="2" t="s">
        <v>59</v>
      </c>
      <c r="D20" s="2" t="s">
        <v>60</v>
      </c>
      <c r="E20" s="6">
        <v>150</v>
      </c>
      <c r="F20" s="2">
        <v>15</v>
      </c>
      <c r="G20" s="16" t="s">
        <v>13</v>
      </c>
      <c r="H20" s="2" t="str">
        <v>Standard Price</v>
      </c>
      <c r="I20" s="57" t="str">
        <v>01</v>
      </c>
      <c r="J20" s="57" t="str">
        <v>MAR</v>
      </c>
      <c r="K20" s="58" t="str">
        <v>UK</v>
      </c>
      <c r="L20" s="37"/>
      <c r="M20" s="26"/>
      <c r="N20" s="26"/>
      <c r="O20" s="26"/>
      <c r="P20" s="26"/>
      <c r="Q20" s="26"/>
      <c r="R20" s="38"/>
    </row>
    <row r="21" spans="1:18" ht="15.75" customHeight="1">
      <c r="A21" s="13">
        <v>20</v>
      </c>
      <c r="B21" s="3" t="s">
        <v>61</v>
      </c>
      <c r="C21" s="3" t="s">
        <v>62</v>
      </c>
      <c r="D21" s="3" t="s">
        <v>63</v>
      </c>
      <c r="E21" s="7">
        <v>200</v>
      </c>
      <c r="F21" s="3">
        <v>10</v>
      </c>
      <c r="G21" s="17" t="s">
        <v>24</v>
      </c>
      <c r="H21" s="2" t="str">
        <v>Standard Price</v>
      </c>
      <c r="I21" s="57" t="str">
        <v>14</v>
      </c>
      <c r="J21" s="57" t="str">
        <v>AUG</v>
      </c>
      <c r="K21" s="58" t="str">
        <v>US</v>
      </c>
      <c r="L21" s="37">
        <v>4</v>
      </c>
      <c r="M21" s="28" t="s">
        <v>99</v>
      </c>
      <c r="N21" s="26"/>
      <c r="O21" s="26"/>
      <c r="P21" s="26"/>
      <c r="Q21" s="26"/>
      <c r="R21" s="38"/>
    </row>
    <row r="22" spans="1:18" ht="15.75" customHeight="1">
      <c r="A22" s="13">
        <v>21</v>
      </c>
      <c r="B22" s="2" t="s">
        <v>64</v>
      </c>
      <c r="C22" s="2" t="s">
        <v>65</v>
      </c>
      <c r="D22" s="2" t="s">
        <v>66</v>
      </c>
      <c r="E22" s="6">
        <v>700</v>
      </c>
      <c r="F22" s="2">
        <v>50</v>
      </c>
      <c r="G22" s="16" t="s">
        <v>9</v>
      </c>
      <c r="H22" s="2" t="str">
        <v>High Price</v>
      </c>
      <c r="I22" s="57" t="str">
        <v>14</v>
      </c>
      <c r="J22" s="57" t="str">
        <v>MAY</v>
      </c>
      <c r="K22" s="58" t="str">
        <v>RU</v>
      </c>
      <c r="L22" s="37"/>
      <c r="M22" s="26"/>
      <c r="N22" s="26"/>
      <c r="O22" s="26"/>
      <c r="P22" s="26"/>
      <c r="Q22" s="26"/>
      <c r="R22" s="38"/>
    </row>
    <row r="23" spans="1:18" ht="15.75" customHeight="1">
      <c r="A23" s="13">
        <v>22</v>
      </c>
      <c r="B23" s="3" t="s">
        <v>67</v>
      </c>
      <c r="C23" s="3" t="s">
        <v>68</v>
      </c>
      <c r="D23" s="3" t="s">
        <v>69</v>
      </c>
      <c r="E23" s="7">
        <v>80</v>
      </c>
      <c r="F23" s="3">
        <v>20</v>
      </c>
      <c r="G23" s="17" t="s">
        <v>17</v>
      </c>
      <c r="H23" s="2" t="str">
        <v>Standard Price</v>
      </c>
      <c r="I23" s="57" t="str">
        <v>09</v>
      </c>
      <c r="J23" s="57" t="str">
        <v>JAN</v>
      </c>
      <c r="K23" s="58" t="str">
        <v>CA</v>
      </c>
      <c r="L23" s="37"/>
      <c r="M23" s="42" t="s">
        <v>101</v>
      </c>
      <c r="N23" s="26"/>
      <c r="O23" s="26"/>
      <c r="P23" s="26"/>
      <c r="Q23" s="26">
        <f>SUMIF(G2:G35,"Electronics",E2:E35)</f>
        <v>8050</v>
      </c>
      <c r="R23" s="41" t="s">
        <v>117</v>
      </c>
    </row>
    <row r="24" spans="1:18" ht="15.75" customHeight="1">
      <c r="A24" s="13">
        <v>23</v>
      </c>
      <c r="B24" s="2" t="s">
        <v>70</v>
      </c>
      <c r="C24" s="2" t="s">
        <v>71</v>
      </c>
      <c r="D24" s="2" t="s">
        <v>72</v>
      </c>
      <c r="E24" s="6">
        <v>150</v>
      </c>
      <c r="F24" s="2">
        <v>30</v>
      </c>
      <c r="G24" s="16" t="s">
        <v>9</v>
      </c>
      <c r="H24" s="2" t="str">
        <v>Standard Price</v>
      </c>
      <c r="I24" s="57" t="str">
        <v>19</v>
      </c>
      <c r="J24" s="57" t="str">
        <v>JUL</v>
      </c>
      <c r="K24" s="58" t="str">
        <v>BR</v>
      </c>
      <c r="L24" s="37"/>
      <c r="M24" s="26"/>
      <c r="N24" s="26"/>
      <c r="O24" s="26"/>
      <c r="P24" s="26"/>
      <c r="Q24" s="26"/>
      <c r="R24" s="38"/>
    </row>
    <row r="25" spans="1:18" ht="15.75" customHeight="1">
      <c r="A25" s="13">
        <v>24</v>
      </c>
      <c r="B25" s="3" t="s">
        <v>50</v>
      </c>
      <c r="C25" s="3" t="s">
        <v>51</v>
      </c>
      <c r="D25" s="3" t="s">
        <v>52</v>
      </c>
      <c r="E25" s="7">
        <v>50</v>
      </c>
      <c r="F25" s="3">
        <v>35</v>
      </c>
      <c r="G25" s="17" t="s">
        <v>53</v>
      </c>
      <c r="H25" s="4" t="str">
        <v>Standard Price</v>
      </c>
      <c r="I25" s="57" t="str">
        <v>21</v>
      </c>
      <c r="J25" s="57" t="str">
        <v>AUG</v>
      </c>
      <c r="K25" s="58" t="str">
        <v>CA</v>
      </c>
      <c r="L25" s="43"/>
      <c r="M25" s="44" t="s">
        <v>102</v>
      </c>
      <c r="N25" s="31"/>
      <c r="O25" s="31"/>
      <c r="P25" s="31"/>
      <c r="Q25" s="31">
        <f>COUNTIF(E2:E35,"&lt;100")</f>
        <v>11</v>
      </c>
      <c r="R25" s="45" t="s">
        <v>118</v>
      </c>
    </row>
    <row r="26" spans="1:18" ht="15.75" customHeight="1">
      <c r="A26" s="13">
        <v>25</v>
      </c>
      <c r="B26" s="2" t="s">
        <v>73</v>
      </c>
      <c r="C26" s="2" t="s">
        <v>19</v>
      </c>
      <c r="D26" s="2" t="s">
        <v>74</v>
      </c>
      <c r="E26" s="6">
        <v>800</v>
      </c>
      <c r="F26" s="2">
        <v>45</v>
      </c>
      <c r="G26" s="16" t="s">
        <v>9</v>
      </c>
      <c r="H26" s="2" t="str">
        <v>High Price</v>
      </c>
      <c r="I26" s="57" t="str">
        <v>29</v>
      </c>
      <c r="J26" s="57" t="str">
        <v>SEP</v>
      </c>
      <c r="K26" s="58" t="str">
        <v>CA</v>
      </c>
      <c r="L26" s="46">
        <v>3</v>
      </c>
      <c r="M26" s="42" t="s">
        <v>107</v>
      </c>
      <c r="N26" s="42"/>
      <c r="O26" s="42"/>
      <c r="P26" s="42"/>
      <c r="Q26" s="26"/>
      <c r="R26" s="27"/>
    </row>
    <row r="27" spans="1:18" ht="15.75" customHeight="1">
      <c r="A27" s="13">
        <v>26</v>
      </c>
      <c r="B27" s="3" t="s">
        <v>75</v>
      </c>
      <c r="C27" s="3" t="s">
        <v>59</v>
      </c>
      <c r="D27" s="3" t="s">
        <v>76</v>
      </c>
      <c r="E27" s="7">
        <v>130</v>
      </c>
      <c r="F27" s="3">
        <v>25</v>
      </c>
      <c r="G27" s="17" t="s">
        <v>13</v>
      </c>
      <c r="H27" s="2" t="str">
        <v>Standard Price</v>
      </c>
      <c r="I27" s="57" t="str">
        <v>03</v>
      </c>
      <c r="J27" s="57" t="str">
        <v>JUN</v>
      </c>
      <c r="K27" s="58" t="str">
        <v>CA</v>
      </c>
      <c r="L27" s="46"/>
      <c r="M27" s="42"/>
      <c r="N27" s="42"/>
      <c r="O27" s="42"/>
      <c r="P27" s="42"/>
      <c r="Q27" s="26"/>
      <c r="R27" s="27"/>
    </row>
    <row r="28" spans="1:18" ht="15.75" customHeight="1">
      <c r="A28" s="13">
        <v>27</v>
      </c>
      <c r="B28" s="2" t="s">
        <v>77</v>
      </c>
      <c r="C28" s="2" t="s">
        <v>32</v>
      </c>
      <c r="D28" s="2" t="s">
        <v>78</v>
      </c>
      <c r="E28" s="6">
        <v>400</v>
      </c>
      <c r="F28" s="2">
        <v>40</v>
      </c>
      <c r="G28" s="16" t="s">
        <v>17</v>
      </c>
      <c r="H28" s="2" t="str">
        <v>Standard Price</v>
      </c>
      <c r="I28" s="57" t="str">
        <v>11</v>
      </c>
      <c r="J28" s="57" t="str">
        <v>JUL</v>
      </c>
      <c r="K28" s="58" t="str">
        <v>CA</v>
      </c>
      <c r="L28" s="47"/>
      <c r="M28" s="42" t="s">
        <v>109</v>
      </c>
      <c r="N28" s="42"/>
      <c r="O28" s="42"/>
      <c r="P28" s="42"/>
      <c r="Q28" s="26"/>
      <c r="R28" s="27"/>
    </row>
    <row r="29" spans="1:18" ht="15.75" customHeight="1">
      <c r="A29" s="13">
        <v>28</v>
      </c>
      <c r="B29" s="3" t="s">
        <v>48</v>
      </c>
      <c r="C29" s="3" t="s">
        <v>26</v>
      </c>
      <c r="D29" s="3" t="s">
        <v>49</v>
      </c>
      <c r="E29" s="7">
        <v>230</v>
      </c>
      <c r="F29" s="3">
        <v>20</v>
      </c>
      <c r="G29" s="17" t="s">
        <v>9</v>
      </c>
      <c r="H29" s="4" t="str">
        <v>Standard Price</v>
      </c>
      <c r="I29" s="57" t="str">
        <v>16</v>
      </c>
      <c r="J29" s="57" t="str">
        <v>APR</v>
      </c>
      <c r="K29" s="58" t="str">
        <v>ES</v>
      </c>
      <c r="L29" s="46"/>
      <c r="M29" s="42"/>
      <c r="N29" s="42"/>
      <c r="O29" s="42"/>
      <c r="P29" s="42"/>
      <c r="Q29" s="26"/>
      <c r="R29" s="27"/>
    </row>
    <row r="30" spans="1:18" ht="15.75" customHeight="1">
      <c r="A30" s="13">
        <v>29</v>
      </c>
      <c r="B30" s="2" t="s">
        <v>79</v>
      </c>
      <c r="C30" s="2" t="s">
        <v>80</v>
      </c>
      <c r="D30" s="2" t="s">
        <v>81</v>
      </c>
      <c r="E30" s="6">
        <v>60</v>
      </c>
      <c r="F30" s="2">
        <v>30</v>
      </c>
      <c r="G30" s="16" t="s">
        <v>13</v>
      </c>
      <c r="H30" s="2" t="str">
        <v>Standard Price</v>
      </c>
      <c r="I30" s="57" t="str">
        <v>07</v>
      </c>
      <c r="J30" s="57" t="str">
        <v>MAR</v>
      </c>
      <c r="K30" s="58" t="str">
        <v>CA</v>
      </c>
      <c r="L30" s="46">
        <v>5</v>
      </c>
      <c r="M30" s="42" t="s">
        <v>108</v>
      </c>
      <c r="N30" s="42"/>
      <c r="O30" s="42"/>
      <c r="P30" s="42"/>
      <c r="Q30" s="26"/>
      <c r="R30" s="27"/>
    </row>
    <row r="31" spans="1:18" ht="15.75" customHeight="1">
      <c r="A31" s="13">
        <v>30</v>
      </c>
      <c r="B31" s="3" t="s">
        <v>82</v>
      </c>
      <c r="C31" s="3" t="s">
        <v>83</v>
      </c>
      <c r="D31" s="3" t="s">
        <v>84</v>
      </c>
      <c r="E31" s="7">
        <v>40</v>
      </c>
      <c r="F31" s="3">
        <v>10</v>
      </c>
      <c r="G31" s="17" t="s">
        <v>17</v>
      </c>
      <c r="H31" s="2" t="str">
        <v>Standard Price</v>
      </c>
      <c r="I31" s="57" t="str">
        <v>13</v>
      </c>
      <c r="J31" s="57" t="str">
        <v>APR</v>
      </c>
      <c r="K31" s="58" t="str">
        <v>CA</v>
      </c>
      <c r="L31" s="46"/>
      <c r="M31" s="42"/>
      <c r="N31" s="42"/>
      <c r="O31" s="42"/>
      <c r="P31" s="42"/>
      <c r="Q31" s="26"/>
      <c r="R31" s="27"/>
    </row>
    <row r="32" spans="1:18" ht="15.75" customHeight="1">
      <c r="A32" s="13">
        <v>31</v>
      </c>
      <c r="B32" s="2" t="s">
        <v>85</v>
      </c>
      <c r="C32" s="2" t="s">
        <v>71</v>
      </c>
      <c r="D32" s="2" t="s">
        <v>86</v>
      </c>
      <c r="E32" s="6">
        <v>130</v>
      </c>
      <c r="F32" s="2">
        <v>5</v>
      </c>
      <c r="G32" s="16" t="s">
        <v>9</v>
      </c>
      <c r="H32" s="2" t="str">
        <v>Standard Price</v>
      </c>
      <c r="I32" s="57" t="str">
        <v>24</v>
      </c>
      <c r="J32" s="57" t="str">
        <v>MAY</v>
      </c>
      <c r="K32" s="58" t="str">
        <v>CA</v>
      </c>
      <c r="L32" s="48" t="s">
        <v>113</v>
      </c>
      <c r="M32" s="49" t="s">
        <v>110</v>
      </c>
      <c r="N32" s="42"/>
      <c r="O32" s="42"/>
      <c r="P32" s="42"/>
      <c r="Q32" s="26"/>
      <c r="R32" s="27"/>
    </row>
    <row r="33" spans="1:18" ht="15.75" customHeight="1">
      <c r="A33" s="13">
        <v>32</v>
      </c>
      <c r="B33" s="3" t="s">
        <v>87</v>
      </c>
      <c r="C33" s="3" t="s">
        <v>88</v>
      </c>
      <c r="D33" s="3" t="s">
        <v>89</v>
      </c>
      <c r="E33" s="7">
        <v>50</v>
      </c>
      <c r="F33" s="3">
        <v>50</v>
      </c>
      <c r="G33" s="17" t="s">
        <v>13</v>
      </c>
      <c r="H33" s="2" t="str">
        <v>Standard Price</v>
      </c>
      <c r="I33" s="57" t="str">
        <v>02</v>
      </c>
      <c r="J33" s="57" t="str">
        <v>DEC</v>
      </c>
      <c r="K33" s="58" t="str">
        <v>CA</v>
      </c>
      <c r="L33" s="48" t="s">
        <v>113</v>
      </c>
      <c r="M33" s="49" t="s">
        <v>111</v>
      </c>
      <c r="N33" s="42"/>
      <c r="O33" s="42"/>
      <c r="P33" s="42"/>
      <c r="Q33" s="26"/>
      <c r="R33" s="27"/>
    </row>
    <row r="34" spans="1:18" ht="15.75" customHeight="1" thickBot="1">
      <c r="A34" s="13">
        <v>33</v>
      </c>
      <c r="B34" s="2" t="s">
        <v>40</v>
      </c>
      <c r="C34" s="2" t="s">
        <v>7</v>
      </c>
      <c r="D34" s="2" t="s">
        <v>41</v>
      </c>
      <c r="E34" s="6">
        <v>950</v>
      </c>
      <c r="F34" s="2">
        <v>25</v>
      </c>
      <c r="G34" s="16" t="s">
        <v>9</v>
      </c>
      <c r="H34" s="2" t="str">
        <v>High Price</v>
      </c>
      <c r="I34" s="57" t="str">
        <v>17</v>
      </c>
      <c r="J34" s="57" t="str">
        <v>JUN</v>
      </c>
      <c r="K34" s="58" t="str">
        <v>IN</v>
      </c>
      <c r="L34" s="50" t="s">
        <v>113</v>
      </c>
      <c r="M34" s="51" t="s">
        <v>112</v>
      </c>
      <c r="N34" s="52"/>
      <c r="O34" s="52"/>
      <c r="P34" s="52"/>
      <c r="Q34" s="53"/>
      <c r="R34" s="54"/>
    </row>
    <row r="35" spans="1:18" ht="15.75" customHeight="1">
      <c r="A35" s="13">
        <v>34</v>
      </c>
      <c r="B35" s="3" t="s">
        <v>90</v>
      </c>
      <c r="C35" s="3" t="s">
        <v>91</v>
      </c>
      <c r="D35" s="3" t="s">
        <v>92</v>
      </c>
      <c r="E35" s="7">
        <v>100</v>
      </c>
      <c r="F35" s="3">
        <v>20</v>
      </c>
      <c r="G35" s="17" t="s">
        <v>53</v>
      </c>
      <c r="H35" s="2" t="str">
        <v>Standard Price</v>
      </c>
      <c r="I35" s="57" t="str">
        <v>09</v>
      </c>
      <c r="J35" s="57" t="str">
        <v>JUL</v>
      </c>
      <c r="K35" s="57" t="str">
        <v>FR</v>
      </c>
      <c r="L35" s="12"/>
      <c r="M35" s="12"/>
      <c r="N35" s="12"/>
      <c r="O35" s="12"/>
      <c r="P35" s="12"/>
    </row>
    <row r="36" spans="1:18" ht="15.75" customHeight="1">
      <c r="I36" s="13" t="str">
        <v/>
      </c>
      <c r="L36" s="12"/>
      <c r="M36" s="12"/>
      <c r="N36" s="12"/>
      <c r="O36" s="12"/>
      <c r="P36" s="12"/>
    </row>
    <row r="37" spans="1:18" ht="26.25" customHeight="1">
      <c r="B37" s="19"/>
      <c r="D37" s="20"/>
      <c r="E37"/>
      <c r="I37" s="13" t="str">
        <v/>
      </c>
    </row>
    <row r="38" spans="1:18" ht="15.75" customHeight="1">
      <c r="B38" s="9"/>
      <c r="C38" s="9"/>
      <c r="I38" s="13" t="str">
        <v/>
      </c>
    </row>
    <row r="39" spans="1:18" ht="15.75" customHeight="1">
      <c r="C39" s="11"/>
      <c r="I39" s="13" t="str">
        <v/>
      </c>
    </row>
    <row r="40" spans="1:18" ht="15.75" customHeight="1">
      <c r="C40" s="11"/>
      <c r="I40" s="13" t="str">
        <v/>
      </c>
    </row>
    <row r="41" spans="1:18" ht="15.75" customHeight="1">
      <c r="C41" s="11"/>
      <c r="I41" s="13" t="str">
        <v/>
      </c>
    </row>
    <row r="42" spans="1:18" ht="15.75" customHeight="1">
      <c r="B42" s="11"/>
      <c r="I42" s="13" t="str">
        <v/>
      </c>
    </row>
    <row r="43" spans="1:18" ht="15.75" customHeight="1">
      <c r="I43" s="13" t="str">
        <v/>
      </c>
    </row>
    <row r="44" spans="1:18" ht="15.75" customHeight="1">
      <c r="I44" s="13" t="str">
        <v/>
      </c>
    </row>
    <row r="45" spans="1:18" ht="15.75" customHeight="1">
      <c r="I45" s="13" t="str">
        <v/>
      </c>
    </row>
    <row r="46" spans="1:18" ht="15.75" customHeight="1">
      <c r="I46" s="13" t="str">
        <v/>
      </c>
    </row>
    <row r="47" spans="1:18" ht="15.75" customHeight="1">
      <c r="I47" s="13" t="str">
        <v/>
      </c>
    </row>
    <row r="48" spans="1:18" ht="15.75" customHeight="1">
      <c r="I48" s="13" t="str">
        <v/>
      </c>
    </row>
    <row r="49" spans="9:9" ht="15.75" customHeight="1">
      <c r="I49" s="13" t="str">
        <v/>
      </c>
    </row>
    <row r="50" spans="9:9" ht="15.75" customHeight="1">
      <c r="I50" s="13" t="str">
        <v/>
      </c>
    </row>
    <row r="51" spans="9:9" ht="15.75" customHeight="1">
      <c r="I51" s="13" t="str">
        <v/>
      </c>
    </row>
    <row r="52" spans="9:9" ht="15.75" customHeight="1">
      <c r="I52" s="13" t="str">
        <v/>
      </c>
    </row>
    <row r="53" spans="9:9" ht="15.75" customHeight="1">
      <c r="I53" s="13" t="str">
        <v/>
      </c>
    </row>
    <row r="54" spans="9:9" ht="15.75" customHeight="1">
      <c r="I54" s="13" t="str">
        <v/>
      </c>
    </row>
    <row r="55" spans="9:9" ht="15.75" customHeight="1">
      <c r="I55" s="13" t="str">
        <v/>
      </c>
    </row>
    <row r="56" spans="9:9" ht="15.75" customHeight="1">
      <c r="I56" s="13" t="str">
        <v/>
      </c>
    </row>
    <row r="57" spans="9:9" ht="15.75" customHeight="1">
      <c r="I57" s="13" t="str">
        <v/>
      </c>
    </row>
    <row r="58" spans="9:9" ht="15.75" customHeight="1">
      <c r="I58" s="13" t="str">
        <v/>
      </c>
    </row>
    <row r="59" spans="9:9" ht="15.75" customHeight="1">
      <c r="I59" s="13" t="str">
        <v/>
      </c>
    </row>
    <row r="60" spans="9:9" ht="15.75" customHeight="1">
      <c r="I60" s="13" t="str">
        <v/>
      </c>
    </row>
    <row r="61" spans="9:9" ht="15.75" customHeight="1">
      <c r="I61" s="13" t="str">
        <v/>
      </c>
    </row>
    <row r="62" spans="9:9" ht="15.75" customHeight="1">
      <c r="I62" s="13" t="str">
        <v/>
      </c>
    </row>
    <row r="63" spans="9:9" ht="15.75" customHeight="1">
      <c r="I63" s="13" t="str">
        <v/>
      </c>
    </row>
    <row r="64" spans="9:9" ht="15.75" customHeight="1">
      <c r="I64" s="13" t="str">
        <v/>
      </c>
    </row>
    <row r="65" spans="9:9" ht="15.75" customHeight="1">
      <c r="I65" s="13" t="str">
        <v/>
      </c>
    </row>
    <row r="66" spans="9:9" ht="15.75" customHeight="1">
      <c r="I66" s="13" t="str">
        <v/>
      </c>
    </row>
    <row r="67" spans="9:9" ht="15.75" customHeight="1">
      <c r="I67" s="13" t="str">
        <v/>
      </c>
    </row>
    <row r="68" spans="9:9" ht="15.75" customHeight="1">
      <c r="I68" s="13" t="str">
        <v/>
      </c>
    </row>
    <row r="69" spans="9:9" ht="15.75" customHeight="1">
      <c r="I69" s="13" t="str">
        <v/>
      </c>
    </row>
    <row r="70" spans="9:9" ht="15.75" customHeight="1">
      <c r="I70" s="13" t="str">
        <v/>
      </c>
    </row>
    <row r="71" spans="9:9" ht="15.75" customHeight="1">
      <c r="I71" s="13" t="str">
        <v/>
      </c>
    </row>
    <row r="72" spans="9:9" ht="15.75" customHeight="1">
      <c r="I72" s="13" t="str">
        <v/>
      </c>
    </row>
    <row r="73" spans="9:9" ht="15.75" customHeight="1">
      <c r="I73" s="13" t="str">
        <v/>
      </c>
    </row>
    <row r="74" spans="9:9" ht="15.75" customHeight="1">
      <c r="I74" s="13" t="str">
        <v/>
      </c>
    </row>
    <row r="75" spans="9:9" ht="15.75" customHeight="1">
      <c r="I75" s="13" t="str">
        <v/>
      </c>
    </row>
    <row r="76" spans="9:9" ht="15.75" customHeight="1">
      <c r="I76" s="13" t="str">
        <v/>
      </c>
    </row>
    <row r="77" spans="9:9" ht="15.75" customHeight="1">
      <c r="I77" s="13" t="str">
        <v/>
      </c>
    </row>
    <row r="78" spans="9:9" ht="15.75" customHeight="1">
      <c r="I78" s="13" t="str">
        <v/>
      </c>
    </row>
    <row r="79" spans="9:9" ht="15.75" customHeight="1">
      <c r="I79" s="13" t="str">
        <v/>
      </c>
    </row>
    <row r="80" spans="9:9" ht="15.75" customHeight="1">
      <c r="I80" s="13" t="str">
        <v/>
      </c>
    </row>
    <row r="81" spans="9:9" ht="15.75" customHeight="1">
      <c r="I81" s="13" t="str">
        <v/>
      </c>
    </row>
    <row r="82" spans="9:9" ht="15.75" customHeight="1">
      <c r="I82" s="13" t="str">
        <v/>
      </c>
    </row>
    <row r="83" spans="9:9" ht="15.75" customHeight="1">
      <c r="I83" s="13" t="str">
        <v/>
      </c>
    </row>
    <row r="84" spans="9:9" ht="15.75" customHeight="1">
      <c r="I84" s="13" t="str">
        <v/>
      </c>
    </row>
    <row r="85" spans="9:9" ht="15.75" customHeight="1">
      <c r="I85" s="13" t="str">
        <v/>
      </c>
    </row>
    <row r="86" spans="9:9" ht="15.75" customHeight="1">
      <c r="I86" s="13" t="str">
        <v/>
      </c>
    </row>
    <row r="87" spans="9:9" ht="15.75" customHeight="1">
      <c r="I87" s="13" t="str">
        <v/>
      </c>
    </row>
    <row r="88" spans="9:9" ht="15.75" customHeight="1">
      <c r="I88" s="13" t="str">
        <v/>
      </c>
    </row>
    <row r="89" spans="9:9" ht="15.75" customHeight="1">
      <c r="I89" s="13" t="str">
        <v/>
      </c>
    </row>
    <row r="90" spans="9:9" ht="15.75" customHeight="1">
      <c r="I90" s="13" t="str">
        <v/>
      </c>
    </row>
    <row r="91" spans="9:9" ht="15.75" customHeight="1">
      <c r="I91" s="13" t="str">
        <v/>
      </c>
    </row>
    <row r="92" spans="9:9" ht="15.75" customHeight="1">
      <c r="I92" s="13" t="str">
        <v/>
      </c>
    </row>
    <row r="93" spans="9:9" ht="15.75" customHeight="1">
      <c r="I93" s="13" t="str">
        <v/>
      </c>
    </row>
    <row r="94" spans="9:9" ht="15.75" customHeight="1">
      <c r="I94" s="13" t="str">
        <v/>
      </c>
    </row>
    <row r="95" spans="9:9" ht="15.75" customHeight="1">
      <c r="I95" s="13" t="str">
        <v/>
      </c>
    </row>
    <row r="96" spans="9:9" ht="15.75" customHeight="1">
      <c r="I96" s="13" t="str">
        <v/>
      </c>
    </row>
    <row r="97" spans="9:9" ht="15.75" customHeight="1">
      <c r="I97" s="13" t="str">
        <v/>
      </c>
    </row>
    <row r="98" spans="9:9" ht="15.75" customHeight="1">
      <c r="I98" s="13" t="str">
        <v/>
      </c>
    </row>
    <row r="99" spans="9:9" ht="15.75" customHeight="1">
      <c r="I99" s="13" t="str">
        <v/>
      </c>
    </row>
    <row r="100" spans="9:9" ht="15.75" customHeight="1">
      <c r="I100" s="13" t="str">
        <v/>
      </c>
    </row>
    <row r="101" spans="9:9" ht="15.75" customHeight="1">
      <c r="I101" s="13" t="str">
        <v/>
      </c>
    </row>
    <row r="102" spans="9:9" ht="15.75" customHeight="1">
      <c r="I102" s="13" t="str">
        <v/>
      </c>
    </row>
    <row r="103" spans="9:9" ht="15.75" customHeight="1">
      <c r="I103" s="13" t="str">
        <v/>
      </c>
    </row>
    <row r="104" spans="9:9" ht="15.75" customHeight="1">
      <c r="I104" s="13" t="str">
        <v/>
      </c>
    </row>
    <row r="105" spans="9:9" ht="15.75" customHeight="1">
      <c r="I105" s="13" t="str">
        <v/>
      </c>
    </row>
    <row r="106" spans="9:9" ht="15.75" customHeight="1">
      <c r="I106" s="13" t="str">
        <v/>
      </c>
    </row>
    <row r="107" spans="9:9" ht="15.75" customHeight="1">
      <c r="I107" s="13" t="str">
        <v/>
      </c>
    </row>
    <row r="108" spans="9:9" ht="15.75" customHeight="1">
      <c r="I108" s="13" t="str">
        <v/>
      </c>
    </row>
    <row r="109" spans="9:9" ht="15.75" customHeight="1">
      <c r="I109" s="13" t="str">
        <v/>
      </c>
    </row>
    <row r="110" spans="9:9" ht="15.75" customHeight="1">
      <c r="I110" s="13" t="str">
        <v/>
      </c>
    </row>
    <row r="111" spans="9:9" ht="15.75" customHeight="1">
      <c r="I111" s="13" t="str">
        <v/>
      </c>
    </row>
    <row r="112" spans="9:9" ht="15.75" customHeight="1">
      <c r="I112" s="13" t="str">
        <v/>
      </c>
    </row>
    <row r="113" spans="9:9" ht="15.75" customHeight="1">
      <c r="I113" s="13" t="str">
        <v/>
      </c>
    </row>
    <row r="114" spans="9:9" ht="15.75" customHeight="1">
      <c r="I114" s="13" t="str">
        <v/>
      </c>
    </row>
    <row r="115" spans="9:9" ht="15.75" customHeight="1">
      <c r="I115" s="13" t="str">
        <v/>
      </c>
    </row>
    <row r="116" spans="9:9" ht="15.75" customHeight="1">
      <c r="I116" s="13" t="str">
        <v/>
      </c>
    </row>
    <row r="117" spans="9:9" ht="15.75" customHeight="1">
      <c r="I117" s="13" t="str">
        <v/>
      </c>
    </row>
    <row r="118" spans="9:9" ht="15.75" customHeight="1">
      <c r="I118" s="13" t="str">
        <v/>
      </c>
    </row>
    <row r="119" spans="9:9" ht="15.75" customHeight="1">
      <c r="I119" s="13" t="str">
        <v/>
      </c>
    </row>
    <row r="120" spans="9:9" ht="15.75" customHeight="1">
      <c r="I120" s="13" t="str">
        <v/>
      </c>
    </row>
    <row r="121" spans="9:9" ht="15.75" customHeight="1">
      <c r="I121" s="13" t="str">
        <v/>
      </c>
    </row>
    <row r="122" spans="9:9" ht="15.75" customHeight="1">
      <c r="I122" s="13" t="str">
        <v/>
      </c>
    </row>
    <row r="123" spans="9:9" ht="15.75" customHeight="1">
      <c r="I123" s="13" t="str">
        <v/>
      </c>
    </row>
    <row r="124" spans="9:9" ht="15.75" customHeight="1">
      <c r="I124" s="13" t="str">
        <v/>
      </c>
    </row>
    <row r="125" spans="9:9" ht="15.75" customHeight="1">
      <c r="I125" s="13" t="str">
        <v/>
      </c>
    </row>
    <row r="126" spans="9:9" ht="15.75" customHeight="1">
      <c r="I126" s="13" t="str">
        <v/>
      </c>
    </row>
    <row r="127" spans="9:9" ht="15.75" customHeight="1">
      <c r="I127" s="13" t="str">
        <v/>
      </c>
    </row>
    <row r="128" spans="9:9" ht="15.75" customHeight="1">
      <c r="I128" s="13" t="str">
        <v/>
      </c>
    </row>
    <row r="129" spans="9:9" ht="15.75" customHeight="1">
      <c r="I129" s="13" t="str">
        <v/>
      </c>
    </row>
    <row r="130" spans="9:9" ht="15.75" customHeight="1">
      <c r="I130" s="13" t="str">
        <v/>
      </c>
    </row>
    <row r="131" spans="9:9" ht="15.75" customHeight="1">
      <c r="I131" s="13" t="str">
        <v/>
      </c>
    </row>
    <row r="132" spans="9:9" ht="15.75" customHeight="1">
      <c r="I132" s="13" t="str">
        <v/>
      </c>
    </row>
    <row r="133" spans="9:9" ht="15.75" customHeight="1">
      <c r="I133" s="13" t="str">
        <v/>
      </c>
    </row>
    <row r="134" spans="9:9" ht="15.75" customHeight="1">
      <c r="I134" s="13" t="str">
        <v/>
      </c>
    </row>
    <row r="135" spans="9:9" ht="15.75" customHeight="1">
      <c r="I135" s="13" t="str">
        <v/>
      </c>
    </row>
    <row r="136" spans="9:9" ht="15.75" customHeight="1">
      <c r="I136" s="13" t="str">
        <v/>
      </c>
    </row>
    <row r="137" spans="9:9" ht="15.75" customHeight="1">
      <c r="I137" s="13" t="str">
        <v/>
      </c>
    </row>
    <row r="138" spans="9:9" ht="15.75" customHeight="1">
      <c r="I138" s="13" t="str">
        <v/>
      </c>
    </row>
    <row r="139" spans="9:9" ht="15.75" customHeight="1">
      <c r="I139" s="13" t="str">
        <v/>
      </c>
    </row>
    <row r="140" spans="9:9" ht="15.75" customHeight="1">
      <c r="I140" s="13" t="str">
        <v/>
      </c>
    </row>
    <row r="141" spans="9:9" ht="15.75" customHeight="1">
      <c r="I141" s="13" t="str">
        <v/>
      </c>
    </row>
    <row r="142" spans="9:9" ht="15.75" customHeight="1">
      <c r="I142" s="13" t="str">
        <v/>
      </c>
    </row>
    <row r="143" spans="9:9" ht="15.75" customHeight="1">
      <c r="I143" s="13" t="str">
        <v/>
      </c>
    </row>
    <row r="144" spans="9:9" ht="15.75" customHeight="1">
      <c r="I144" s="13" t="str">
        <v/>
      </c>
    </row>
    <row r="145" spans="9:9" ht="15.75" customHeight="1">
      <c r="I145" s="13" t="str">
        <v/>
      </c>
    </row>
    <row r="146" spans="9:9" ht="15.75" customHeight="1">
      <c r="I146" s="13" t="str">
        <v/>
      </c>
    </row>
    <row r="147" spans="9:9" ht="15.75" customHeight="1">
      <c r="I147" s="13" t="str">
        <v/>
      </c>
    </row>
    <row r="148" spans="9:9" ht="15.75" customHeight="1">
      <c r="I148" s="13" t="str">
        <v/>
      </c>
    </row>
    <row r="149" spans="9:9" ht="15.75" customHeight="1">
      <c r="I149" s="13" t="str">
        <v/>
      </c>
    </row>
    <row r="150" spans="9:9" ht="15.75" customHeight="1">
      <c r="I150" s="13" t="str">
        <v/>
      </c>
    </row>
    <row r="151" spans="9:9" ht="15.75" customHeight="1">
      <c r="I151" s="13" t="str">
        <v/>
      </c>
    </row>
    <row r="152" spans="9:9" ht="15.75" customHeight="1">
      <c r="I152" s="13" t="str">
        <v/>
      </c>
    </row>
    <row r="153" spans="9:9" ht="15.75" customHeight="1">
      <c r="I153" s="13" t="str">
        <v/>
      </c>
    </row>
    <row r="154" spans="9:9" ht="15.75" customHeight="1">
      <c r="I154" s="13" t="str">
        <v/>
      </c>
    </row>
    <row r="155" spans="9:9" ht="15.75" customHeight="1">
      <c r="I155" s="13" t="str">
        <v/>
      </c>
    </row>
    <row r="156" spans="9:9" ht="15.75" customHeight="1">
      <c r="I156" s="13" t="str">
        <v/>
      </c>
    </row>
    <row r="157" spans="9:9" ht="15.75" customHeight="1">
      <c r="I157" s="13" t="str">
        <v/>
      </c>
    </row>
    <row r="158" spans="9:9" ht="15.75" customHeight="1">
      <c r="I158" s="13" t="str">
        <v/>
      </c>
    </row>
    <row r="159" spans="9:9" ht="15.75" customHeight="1">
      <c r="I159" s="13" t="str">
        <v/>
      </c>
    </row>
    <row r="160" spans="9:9" ht="15.75" customHeight="1">
      <c r="I160" s="13" t="str">
        <v/>
      </c>
    </row>
    <row r="161" spans="9:9" ht="15.75" customHeight="1">
      <c r="I161" s="13" t="str">
        <v/>
      </c>
    </row>
    <row r="162" spans="9:9" ht="15.75" customHeight="1">
      <c r="I162" s="13" t="str">
        <v/>
      </c>
    </row>
    <row r="163" spans="9:9" ht="15.75" customHeight="1">
      <c r="I163" s="13" t="str">
        <v/>
      </c>
    </row>
    <row r="164" spans="9:9" ht="15.75" customHeight="1">
      <c r="I164" s="13" t="str">
        <v/>
      </c>
    </row>
    <row r="165" spans="9:9" ht="15.75" customHeight="1">
      <c r="I165" s="13" t="str">
        <v/>
      </c>
    </row>
    <row r="166" spans="9:9" ht="15.75" customHeight="1">
      <c r="I166" s="13" t="str">
        <v/>
      </c>
    </row>
    <row r="167" spans="9:9" ht="15.75" customHeight="1">
      <c r="I167" s="13" t="str">
        <v/>
      </c>
    </row>
    <row r="168" spans="9:9" ht="15.75" customHeight="1">
      <c r="I168" s="13" t="str">
        <v/>
      </c>
    </row>
    <row r="169" spans="9:9" ht="15.75" customHeight="1">
      <c r="I169" s="13" t="str">
        <v/>
      </c>
    </row>
    <row r="170" spans="9:9" ht="15.75" customHeight="1">
      <c r="I170" s="13" t="str">
        <v/>
      </c>
    </row>
    <row r="171" spans="9:9" ht="15.75" customHeight="1">
      <c r="I171" s="13" t="str">
        <v/>
      </c>
    </row>
    <row r="172" spans="9:9" ht="15.75" customHeight="1">
      <c r="I172" s="13" t="str">
        <v/>
      </c>
    </row>
    <row r="173" spans="9:9" ht="15.75" customHeight="1">
      <c r="I173" s="13" t="str">
        <v/>
      </c>
    </row>
    <row r="174" spans="9:9" ht="15.75" customHeight="1">
      <c r="I174" s="13" t="str">
        <v/>
      </c>
    </row>
    <row r="175" spans="9:9" ht="15.75" customHeight="1">
      <c r="I175" s="13" t="str">
        <v/>
      </c>
    </row>
    <row r="176" spans="9:9" ht="15.75" customHeight="1">
      <c r="I176" s="13" t="str">
        <v/>
      </c>
    </row>
    <row r="177" spans="9:9" ht="15.75" customHeight="1">
      <c r="I177" s="13" t="str">
        <v/>
      </c>
    </row>
    <row r="178" spans="9:9" ht="15.75" customHeight="1">
      <c r="I178" s="13" t="str">
        <v/>
      </c>
    </row>
    <row r="179" spans="9:9" ht="15.75" customHeight="1">
      <c r="I179" s="13" t="str">
        <v/>
      </c>
    </row>
    <row r="180" spans="9:9" ht="15.75" customHeight="1">
      <c r="I180" s="13" t="str">
        <v/>
      </c>
    </row>
    <row r="181" spans="9:9" ht="15.75" customHeight="1">
      <c r="I181" s="13" t="str">
        <v/>
      </c>
    </row>
    <row r="182" spans="9:9" ht="15.75" customHeight="1">
      <c r="I182" s="13" t="str">
        <v/>
      </c>
    </row>
    <row r="183" spans="9:9" ht="15.75" customHeight="1">
      <c r="I183" s="13" t="str">
        <v/>
      </c>
    </row>
    <row r="184" spans="9:9" ht="15.75" customHeight="1">
      <c r="I184" s="13" t="str">
        <v/>
      </c>
    </row>
    <row r="185" spans="9:9" ht="15.75" customHeight="1">
      <c r="I185" s="13" t="str">
        <v/>
      </c>
    </row>
    <row r="186" spans="9:9" ht="15.75" customHeight="1">
      <c r="I186" s="13" t="str">
        <v/>
      </c>
    </row>
    <row r="187" spans="9:9" ht="15.75" customHeight="1">
      <c r="I187" s="13" t="str">
        <v/>
      </c>
    </row>
    <row r="188" spans="9:9" ht="15.75" customHeight="1">
      <c r="I188" s="13" t="str">
        <v/>
      </c>
    </row>
    <row r="189" spans="9:9" ht="15.75" customHeight="1">
      <c r="I189" s="13" t="str">
        <v/>
      </c>
    </row>
    <row r="190" spans="9:9" ht="15.75" customHeight="1">
      <c r="I190" s="13" t="str">
        <v/>
      </c>
    </row>
    <row r="191" spans="9:9" ht="15.75" customHeight="1">
      <c r="I191" s="13" t="str">
        <v/>
      </c>
    </row>
    <row r="192" spans="9:9" ht="15.75" customHeight="1">
      <c r="I192" s="13" t="str">
        <v/>
      </c>
    </row>
    <row r="193" spans="9:9" ht="15.75" customHeight="1">
      <c r="I193" s="13" t="str">
        <v/>
      </c>
    </row>
    <row r="194" spans="9:9" ht="15.75" customHeight="1">
      <c r="I194" s="13" t="str">
        <v/>
      </c>
    </row>
    <row r="195" spans="9:9" ht="15.75" customHeight="1">
      <c r="I195" s="13" t="str">
        <v/>
      </c>
    </row>
    <row r="196" spans="9:9" ht="15.75" customHeight="1">
      <c r="I196" s="13" t="str">
        <v/>
      </c>
    </row>
    <row r="197" spans="9:9" ht="15.75" customHeight="1">
      <c r="I197" s="13" t="str">
        <v/>
      </c>
    </row>
    <row r="198" spans="9:9" ht="15.75" customHeight="1">
      <c r="I198" s="13" t="str">
        <v/>
      </c>
    </row>
    <row r="199" spans="9:9" ht="15.75" customHeight="1">
      <c r="I199" s="13" t="str">
        <v/>
      </c>
    </row>
    <row r="200" spans="9:9" ht="15.75" customHeight="1">
      <c r="I200" s="13" t="str">
        <v/>
      </c>
    </row>
    <row r="201" spans="9:9" ht="15.75" customHeight="1">
      <c r="I201" s="13" t="str">
        <v/>
      </c>
    </row>
    <row r="202" spans="9:9" ht="15.75" customHeight="1">
      <c r="I202" s="13" t="str">
        <v/>
      </c>
    </row>
    <row r="203" spans="9:9" ht="15.75" customHeight="1">
      <c r="I203" s="13" t="str">
        <v/>
      </c>
    </row>
    <row r="204" spans="9:9" ht="15.75" customHeight="1">
      <c r="I204" s="13" t="str">
        <v/>
      </c>
    </row>
    <row r="205" spans="9:9" ht="15.75" customHeight="1">
      <c r="I205" s="13" t="str">
        <v/>
      </c>
    </row>
    <row r="206" spans="9:9" ht="15.75" customHeight="1">
      <c r="I206" s="13" t="str">
        <v/>
      </c>
    </row>
    <row r="207" spans="9:9" ht="15.75" customHeight="1">
      <c r="I207" s="13" t="str">
        <v/>
      </c>
    </row>
    <row r="208" spans="9:9" ht="15.75" customHeight="1">
      <c r="I208" s="13" t="str">
        <v/>
      </c>
    </row>
    <row r="209" spans="9:9" ht="15.75" customHeight="1">
      <c r="I209" s="13" t="str">
        <v/>
      </c>
    </row>
    <row r="210" spans="9:9" ht="15.75" customHeight="1">
      <c r="I210" s="13" t="str">
        <v/>
      </c>
    </row>
    <row r="211" spans="9:9" ht="15.75" customHeight="1">
      <c r="I211" s="13" t="str">
        <v/>
      </c>
    </row>
    <row r="212" spans="9:9" ht="15.75" customHeight="1">
      <c r="I212" s="13" t="str">
        <v/>
      </c>
    </row>
    <row r="213" spans="9:9" ht="15.75" customHeight="1">
      <c r="I213" s="13" t="str">
        <v/>
      </c>
    </row>
    <row r="214" spans="9:9" ht="15.75" customHeight="1">
      <c r="I214" s="13" t="str">
        <v/>
      </c>
    </row>
    <row r="215" spans="9:9" ht="15.75" customHeight="1">
      <c r="I215" s="13" t="str">
        <v/>
      </c>
    </row>
    <row r="216" spans="9:9" ht="15.75" customHeight="1">
      <c r="I216" s="13" t="str">
        <v/>
      </c>
    </row>
    <row r="217" spans="9:9" ht="15.75" customHeight="1">
      <c r="I217" s="13" t="str">
        <v/>
      </c>
    </row>
    <row r="218" spans="9:9" ht="15.75" customHeight="1">
      <c r="I218" s="13" t="str">
        <v/>
      </c>
    </row>
    <row r="219" spans="9:9" ht="15.75" customHeight="1">
      <c r="I219" s="13" t="str">
        <v/>
      </c>
    </row>
    <row r="220" spans="9:9" ht="15.75" customHeight="1">
      <c r="I220" s="13" t="str">
        <v/>
      </c>
    </row>
    <row r="221" spans="9:9" ht="15.75" customHeight="1">
      <c r="I221" s="13" t="str">
        <v/>
      </c>
    </row>
    <row r="222" spans="9:9" ht="15.75" customHeight="1">
      <c r="I222" s="13" t="str">
        <v/>
      </c>
    </row>
    <row r="223" spans="9:9" ht="15.75" customHeight="1">
      <c r="I223" s="13" t="str">
        <v/>
      </c>
    </row>
    <row r="224" spans="9:9" ht="15.75" customHeight="1">
      <c r="I224" s="13" t="str">
        <v/>
      </c>
    </row>
    <row r="225" spans="9:9" ht="15.75" customHeight="1">
      <c r="I225" s="13" t="str">
        <v/>
      </c>
    </row>
    <row r="226" spans="9:9" ht="15.75" customHeight="1">
      <c r="I226" s="13" t="str">
        <v/>
      </c>
    </row>
    <row r="227" spans="9:9" ht="15.75" customHeight="1">
      <c r="I227" s="13" t="str">
        <v/>
      </c>
    </row>
    <row r="228" spans="9:9" ht="15.75" customHeight="1">
      <c r="I228" s="13" t="str">
        <v/>
      </c>
    </row>
    <row r="229" spans="9:9" ht="15.75" customHeight="1">
      <c r="I229" s="13" t="str">
        <v/>
      </c>
    </row>
    <row r="230" spans="9:9" ht="15.75" customHeight="1">
      <c r="I230" s="13" t="str">
        <v/>
      </c>
    </row>
    <row r="231" spans="9:9" ht="15.75" customHeight="1">
      <c r="I231" s="13" t="str">
        <v/>
      </c>
    </row>
    <row r="232" spans="9:9" ht="15.75" customHeight="1">
      <c r="I232" s="13" t="str">
        <v/>
      </c>
    </row>
    <row r="233" spans="9:9" ht="15.75" customHeight="1">
      <c r="I233" s="13" t="str">
        <v/>
      </c>
    </row>
    <row r="234" spans="9:9" ht="15.75" customHeight="1">
      <c r="I234" s="13" t="str">
        <v/>
      </c>
    </row>
    <row r="235" spans="9:9" ht="15.75" customHeight="1">
      <c r="I235" s="13" t="str">
        <v/>
      </c>
    </row>
    <row r="236" spans="9:9" ht="15.75" customHeight="1">
      <c r="I236" s="13" t="str">
        <v/>
      </c>
    </row>
    <row r="237" spans="9:9" ht="15.75" customHeight="1">
      <c r="I237" s="13" t="str">
        <v/>
      </c>
    </row>
    <row r="238" spans="9:9" ht="15.75" customHeight="1">
      <c r="I238" s="13" t="str">
        <v/>
      </c>
    </row>
    <row r="239" spans="9:9" ht="15.75" customHeight="1">
      <c r="I239" s="13" t="str">
        <v/>
      </c>
    </row>
    <row r="240" spans="9:9" ht="15.75" customHeight="1">
      <c r="I240" s="13" t="str">
        <v/>
      </c>
    </row>
    <row r="241" spans="9:9" ht="15.75" customHeight="1">
      <c r="I241" s="13" t="str">
        <v/>
      </c>
    </row>
    <row r="242" spans="9:9" ht="15.75" customHeight="1">
      <c r="I242" s="13" t="str">
        <v/>
      </c>
    </row>
    <row r="243" spans="9:9" ht="15.75" customHeight="1">
      <c r="I243" s="13" t="str">
        <v/>
      </c>
    </row>
    <row r="244" spans="9:9" ht="15.75" customHeight="1">
      <c r="I244" s="13" t="str">
        <v/>
      </c>
    </row>
    <row r="245" spans="9:9" ht="15.75" customHeight="1">
      <c r="I245" s="13" t="str">
        <v/>
      </c>
    </row>
    <row r="246" spans="9:9" ht="15.75" customHeight="1">
      <c r="I246" s="13" t="str">
        <v/>
      </c>
    </row>
    <row r="247" spans="9:9" ht="15.75" customHeight="1">
      <c r="I247" s="13" t="str">
        <v/>
      </c>
    </row>
    <row r="248" spans="9:9" ht="15.75" customHeight="1">
      <c r="I248" s="13" t="str">
        <v/>
      </c>
    </row>
    <row r="249" spans="9:9" ht="15.75" customHeight="1">
      <c r="I249" s="13" t="str">
        <v/>
      </c>
    </row>
    <row r="250" spans="9:9" ht="15.75" customHeight="1">
      <c r="I250" s="13" t="str">
        <v/>
      </c>
    </row>
    <row r="251" spans="9:9" ht="15.75" customHeight="1">
      <c r="I251" s="13" t="str">
        <v/>
      </c>
    </row>
    <row r="252" spans="9:9" ht="15.75" customHeight="1">
      <c r="I252" s="13" t="str">
        <v/>
      </c>
    </row>
    <row r="253" spans="9:9" ht="15.75" customHeight="1">
      <c r="I253" s="13" t="str">
        <v/>
      </c>
    </row>
    <row r="254" spans="9:9" ht="15.75" customHeight="1">
      <c r="I254" s="13" t="str">
        <v/>
      </c>
    </row>
    <row r="255" spans="9:9" ht="15.75" customHeight="1">
      <c r="I255" s="13" t="str">
        <v/>
      </c>
    </row>
    <row r="256" spans="9:9" ht="15.75" customHeight="1">
      <c r="I256" s="13" t="str">
        <v/>
      </c>
    </row>
    <row r="257" spans="9:9" ht="15.75" customHeight="1">
      <c r="I257" s="13" t="str">
        <v/>
      </c>
    </row>
    <row r="258" spans="9:9" ht="15.75" customHeight="1">
      <c r="I258" s="13" t="str">
        <v/>
      </c>
    </row>
    <row r="259" spans="9:9" ht="15.75" customHeight="1">
      <c r="I259" s="13" t="str">
        <v/>
      </c>
    </row>
    <row r="260" spans="9:9" ht="15.75" customHeight="1">
      <c r="I260" s="13" t="str">
        <v/>
      </c>
    </row>
    <row r="261" spans="9:9" ht="15.75" customHeight="1">
      <c r="I261" s="13" t="str">
        <v/>
      </c>
    </row>
    <row r="262" spans="9:9" ht="15.75" customHeight="1">
      <c r="I262" s="13" t="str">
        <v/>
      </c>
    </row>
    <row r="263" spans="9:9" ht="15.75" customHeight="1">
      <c r="I263" s="13" t="str">
        <v/>
      </c>
    </row>
    <row r="264" spans="9:9" ht="15.75" customHeight="1">
      <c r="I264" s="13" t="str">
        <v/>
      </c>
    </row>
    <row r="265" spans="9:9" ht="15.75" customHeight="1">
      <c r="I265" s="13" t="str">
        <v/>
      </c>
    </row>
    <row r="266" spans="9:9" ht="15.75" customHeight="1">
      <c r="I266" s="13" t="str">
        <v/>
      </c>
    </row>
    <row r="267" spans="9:9" ht="15.75" customHeight="1">
      <c r="I267" s="13" t="str">
        <v/>
      </c>
    </row>
    <row r="268" spans="9:9" ht="15.75" customHeight="1">
      <c r="I268" s="13" t="str">
        <v/>
      </c>
    </row>
    <row r="269" spans="9:9" ht="15.75" customHeight="1">
      <c r="I269" s="13" t="str">
        <v/>
      </c>
    </row>
    <row r="270" spans="9:9" ht="15.75" customHeight="1">
      <c r="I270" s="13" t="str">
        <v/>
      </c>
    </row>
    <row r="271" spans="9:9" ht="15.75" customHeight="1">
      <c r="I271" s="13" t="str">
        <v/>
      </c>
    </row>
    <row r="272" spans="9:9" ht="15.75" customHeight="1">
      <c r="I272" s="13" t="str">
        <v/>
      </c>
    </row>
    <row r="273" spans="9:9" ht="15.75" customHeight="1">
      <c r="I273" s="13" t="str">
        <v/>
      </c>
    </row>
    <row r="274" spans="9:9" ht="15.75" customHeight="1">
      <c r="I274" s="13" t="str">
        <v/>
      </c>
    </row>
    <row r="275" spans="9:9" ht="15.75" customHeight="1">
      <c r="I275" s="13" t="str">
        <v/>
      </c>
    </row>
    <row r="276" spans="9:9" ht="15.75" customHeight="1">
      <c r="I276" s="13" t="str">
        <v/>
      </c>
    </row>
    <row r="277" spans="9:9" ht="15.75" customHeight="1">
      <c r="I277" s="13" t="str">
        <v/>
      </c>
    </row>
    <row r="278" spans="9:9" ht="15.75" customHeight="1">
      <c r="I278" s="13" t="str">
        <v/>
      </c>
    </row>
    <row r="279" spans="9:9" ht="15.75" customHeight="1">
      <c r="I279" s="13" t="str">
        <v/>
      </c>
    </row>
    <row r="280" spans="9:9" ht="15.75" customHeight="1">
      <c r="I280" s="13" t="str">
        <v/>
      </c>
    </row>
    <row r="281" spans="9:9" ht="15.75" customHeight="1">
      <c r="I281" s="13" t="str">
        <v/>
      </c>
    </row>
    <row r="282" spans="9:9" ht="15.75" customHeight="1">
      <c r="I282" s="13" t="str">
        <v/>
      </c>
    </row>
    <row r="283" spans="9:9" ht="15.75" customHeight="1">
      <c r="I283" s="13" t="str">
        <v/>
      </c>
    </row>
    <row r="284" spans="9:9" ht="15.75" customHeight="1">
      <c r="I284" s="13" t="str">
        <v/>
      </c>
    </row>
    <row r="285" spans="9:9" ht="15.75" customHeight="1">
      <c r="I285" s="13" t="str">
        <v/>
      </c>
    </row>
    <row r="286" spans="9:9" ht="15.75" customHeight="1">
      <c r="I286" s="13" t="str">
        <v/>
      </c>
    </row>
    <row r="287" spans="9:9" ht="15.75" customHeight="1">
      <c r="I287" s="13" t="str">
        <v/>
      </c>
    </row>
    <row r="288" spans="9:9" ht="15.75" customHeight="1">
      <c r="I288" s="13" t="str">
        <v/>
      </c>
    </row>
    <row r="289" spans="9:9" ht="15.75" customHeight="1">
      <c r="I289" s="13" t="str">
        <v/>
      </c>
    </row>
    <row r="290" spans="9:9" ht="15.75" customHeight="1">
      <c r="I290" s="13" t="str">
        <v/>
      </c>
    </row>
    <row r="291" spans="9:9" ht="15.75" customHeight="1">
      <c r="I291" s="13" t="str">
        <v/>
      </c>
    </row>
    <row r="292" spans="9:9" ht="15.75" customHeight="1">
      <c r="I292" s="13" t="str">
        <v/>
      </c>
    </row>
    <row r="293" spans="9:9" ht="15.75" customHeight="1">
      <c r="I293" s="13" t="str">
        <v/>
      </c>
    </row>
    <row r="294" spans="9:9" ht="15.75" customHeight="1">
      <c r="I294" s="13" t="str">
        <v/>
      </c>
    </row>
    <row r="295" spans="9:9" ht="15.75" customHeight="1">
      <c r="I295" s="13" t="str">
        <v/>
      </c>
    </row>
    <row r="296" spans="9:9" ht="15.75" customHeight="1">
      <c r="I296" s="13" t="str">
        <v/>
      </c>
    </row>
    <row r="297" spans="9:9" ht="15.75" customHeight="1">
      <c r="I297" s="13" t="str">
        <v/>
      </c>
    </row>
    <row r="298" spans="9:9" ht="15.75" customHeight="1">
      <c r="I298" s="13" t="str">
        <v/>
      </c>
    </row>
    <row r="299" spans="9:9" ht="15.75" customHeight="1">
      <c r="I299" s="13" t="str">
        <v/>
      </c>
    </row>
    <row r="300" spans="9:9" ht="15.75" customHeight="1">
      <c r="I300" s="13" t="str">
        <v/>
      </c>
    </row>
    <row r="301" spans="9:9" ht="15.75" customHeight="1">
      <c r="I301" s="13" t="str">
        <v/>
      </c>
    </row>
    <row r="302" spans="9:9" ht="15.75" customHeight="1">
      <c r="I302" s="13" t="str">
        <v/>
      </c>
    </row>
    <row r="303" spans="9:9" ht="15.75" customHeight="1">
      <c r="I303" s="13" t="str">
        <v/>
      </c>
    </row>
    <row r="304" spans="9:9" ht="15.75" customHeight="1">
      <c r="I304" s="13" t="str">
        <v/>
      </c>
    </row>
    <row r="305" spans="9:9" ht="15.75" customHeight="1">
      <c r="I305" s="13" t="str">
        <v/>
      </c>
    </row>
    <row r="306" spans="9:9" ht="15.75" customHeight="1">
      <c r="I306" s="13" t="str">
        <v/>
      </c>
    </row>
    <row r="307" spans="9:9" ht="15.75" customHeight="1">
      <c r="I307" s="13" t="str">
        <v/>
      </c>
    </row>
    <row r="308" spans="9:9" ht="15.75" customHeight="1">
      <c r="I308" s="13" t="str">
        <v/>
      </c>
    </row>
    <row r="309" spans="9:9" ht="15.75" customHeight="1">
      <c r="I309" s="13" t="str">
        <v/>
      </c>
    </row>
    <row r="310" spans="9:9" ht="15.75" customHeight="1">
      <c r="I310" s="13" t="str">
        <v/>
      </c>
    </row>
    <row r="311" spans="9:9" ht="15.75" customHeight="1">
      <c r="I311" s="13" t="str">
        <v/>
      </c>
    </row>
    <row r="312" spans="9:9" ht="15.75" customHeight="1">
      <c r="I312" s="13" t="str">
        <v/>
      </c>
    </row>
    <row r="313" spans="9:9" ht="15.75" customHeight="1">
      <c r="I313" s="13" t="str">
        <v/>
      </c>
    </row>
    <row r="314" spans="9:9" ht="15.75" customHeight="1">
      <c r="I314" s="13" t="str">
        <v/>
      </c>
    </row>
    <row r="315" spans="9:9" ht="15.75" customHeight="1">
      <c r="I315" s="13" t="str">
        <v/>
      </c>
    </row>
    <row r="316" spans="9:9" ht="15.75" customHeight="1">
      <c r="I316" s="13" t="str">
        <v/>
      </c>
    </row>
    <row r="317" spans="9:9" ht="15.75" customHeight="1">
      <c r="I317" s="13" t="str">
        <v/>
      </c>
    </row>
    <row r="318" spans="9:9" ht="15.75" customHeight="1">
      <c r="I318" s="13" t="str">
        <v/>
      </c>
    </row>
    <row r="319" spans="9:9" ht="15.75" customHeight="1">
      <c r="I319" s="13" t="str">
        <v/>
      </c>
    </row>
    <row r="320" spans="9:9" ht="15.75" customHeight="1">
      <c r="I320" s="13" t="str">
        <v/>
      </c>
    </row>
    <row r="321" spans="9:9" ht="15.75" customHeight="1">
      <c r="I321" s="13" t="str">
        <v/>
      </c>
    </row>
    <row r="322" spans="9:9" ht="15.75" customHeight="1">
      <c r="I322" s="13" t="str">
        <v/>
      </c>
    </row>
    <row r="323" spans="9:9" ht="15.75" customHeight="1">
      <c r="I323" s="13" t="str">
        <v/>
      </c>
    </row>
    <row r="324" spans="9:9" ht="15.75" customHeight="1">
      <c r="I324" s="13" t="str">
        <v/>
      </c>
    </row>
    <row r="325" spans="9:9" ht="15.75" customHeight="1">
      <c r="I325" s="13" t="str">
        <v/>
      </c>
    </row>
    <row r="326" spans="9:9" ht="15.75" customHeight="1">
      <c r="I326" s="13" t="str">
        <v/>
      </c>
    </row>
    <row r="327" spans="9:9" ht="15.75" customHeight="1">
      <c r="I327" s="13" t="str">
        <v/>
      </c>
    </row>
    <row r="328" spans="9:9" ht="15.75" customHeight="1">
      <c r="I328" s="13" t="str">
        <v/>
      </c>
    </row>
    <row r="329" spans="9:9" ht="15.75" customHeight="1">
      <c r="I329" s="13" t="str">
        <v/>
      </c>
    </row>
    <row r="330" spans="9:9" ht="15.75" customHeight="1">
      <c r="I330" s="13" t="str">
        <v/>
      </c>
    </row>
    <row r="331" spans="9:9" ht="15.75" customHeight="1">
      <c r="I331" s="13" t="str">
        <v/>
      </c>
    </row>
    <row r="332" spans="9:9" ht="15.75" customHeight="1">
      <c r="I332" s="13" t="str">
        <v/>
      </c>
    </row>
    <row r="333" spans="9:9" ht="15.75" customHeight="1">
      <c r="I333" s="13" t="str">
        <v/>
      </c>
    </row>
    <row r="334" spans="9:9" ht="15.75" customHeight="1">
      <c r="I334" s="13" t="str">
        <v/>
      </c>
    </row>
    <row r="335" spans="9:9" ht="15.75" customHeight="1">
      <c r="I335" s="13" t="str">
        <v/>
      </c>
    </row>
    <row r="336" spans="9:9" ht="15.75" customHeight="1">
      <c r="I336" s="13" t="str">
        <v/>
      </c>
    </row>
    <row r="337" spans="9:9" ht="15.75" customHeight="1">
      <c r="I337" s="13" t="str">
        <v/>
      </c>
    </row>
    <row r="338" spans="9:9" ht="15.75" customHeight="1">
      <c r="I338" s="13" t="str">
        <v/>
      </c>
    </row>
    <row r="339" spans="9:9" ht="15.75" customHeight="1">
      <c r="I339" s="13" t="str">
        <v/>
      </c>
    </row>
    <row r="340" spans="9:9" ht="15.75" customHeight="1">
      <c r="I340" s="13" t="str">
        <v/>
      </c>
    </row>
    <row r="341" spans="9:9" ht="15.75" customHeight="1">
      <c r="I341" s="13" t="str">
        <v/>
      </c>
    </row>
    <row r="342" spans="9:9" ht="15.75" customHeight="1">
      <c r="I342" s="13" t="str">
        <v/>
      </c>
    </row>
    <row r="343" spans="9:9" ht="15.75" customHeight="1">
      <c r="I343" s="13" t="str">
        <v/>
      </c>
    </row>
    <row r="344" spans="9:9" ht="15.75" customHeight="1">
      <c r="I344" s="13" t="str">
        <v/>
      </c>
    </row>
    <row r="345" spans="9:9" ht="15.75" customHeight="1">
      <c r="I345" s="13" t="str">
        <v/>
      </c>
    </row>
    <row r="346" spans="9:9" ht="15.75" customHeight="1">
      <c r="I346" s="13" t="str">
        <v/>
      </c>
    </row>
    <row r="347" spans="9:9" ht="15.75" customHeight="1">
      <c r="I347" s="13" t="str">
        <v/>
      </c>
    </row>
    <row r="348" spans="9:9" ht="15.75" customHeight="1">
      <c r="I348" s="13" t="str">
        <v/>
      </c>
    </row>
    <row r="349" spans="9:9" ht="15.75" customHeight="1">
      <c r="I349" s="13" t="str">
        <v/>
      </c>
    </row>
    <row r="350" spans="9:9" ht="15.75" customHeight="1">
      <c r="I350" s="13" t="str">
        <v/>
      </c>
    </row>
    <row r="351" spans="9:9" ht="15.75" customHeight="1">
      <c r="I351" s="13" t="str">
        <v/>
      </c>
    </row>
    <row r="352" spans="9:9" ht="15.75" customHeight="1">
      <c r="I352" s="13" t="str">
        <v/>
      </c>
    </row>
    <row r="353" spans="9:9" ht="15.75" customHeight="1">
      <c r="I353" s="13" t="str">
        <v/>
      </c>
    </row>
    <row r="354" spans="9:9" ht="15.75" customHeight="1">
      <c r="I354" s="13" t="str">
        <v/>
      </c>
    </row>
    <row r="355" spans="9:9" ht="15.75" customHeight="1">
      <c r="I355" s="13" t="str">
        <v/>
      </c>
    </row>
    <row r="356" spans="9:9" ht="15.75" customHeight="1">
      <c r="I356" s="13" t="str">
        <v/>
      </c>
    </row>
    <row r="357" spans="9:9" ht="15.75" customHeight="1">
      <c r="I357" s="13" t="str">
        <v/>
      </c>
    </row>
    <row r="358" spans="9:9" ht="15.75" customHeight="1">
      <c r="I358" s="13" t="str">
        <v/>
      </c>
    </row>
    <row r="359" spans="9:9" ht="15.75" customHeight="1">
      <c r="I359" s="13" t="str">
        <v/>
      </c>
    </row>
    <row r="360" spans="9:9" ht="15.75" customHeight="1">
      <c r="I360" s="13" t="str">
        <v/>
      </c>
    </row>
    <row r="361" spans="9:9" ht="15.75" customHeight="1">
      <c r="I361" s="13" t="str">
        <v/>
      </c>
    </row>
    <row r="362" spans="9:9" ht="15.75" customHeight="1">
      <c r="I362" s="13" t="str">
        <v/>
      </c>
    </row>
    <row r="363" spans="9:9" ht="15.75" customHeight="1">
      <c r="I363" s="13" t="str">
        <v/>
      </c>
    </row>
    <row r="364" spans="9:9" ht="15.75" customHeight="1">
      <c r="I364" s="13" t="str">
        <v/>
      </c>
    </row>
    <row r="365" spans="9:9" ht="15.75" customHeight="1">
      <c r="I365" s="13" t="str">
        <v/>
      </c>
    </row>
    <row r="366" spans="9:9" ht="15.75" customHeight="1">
      <c r="I366" s="13" t="str">
        <v/>
      </c>
    </row>
    <row r="367" spans="9:9" ht="15.75" customHeight="1">
      <c r="I367" s="13" t="str">
        <v/>
      </c>
    </row>
    <row r="368" spans="9:9" ht="15.75" customHeight="1">
      <c r="I368" s="13" t="str">
        <v/>
      </c>
    </row>
    <row r="369" spans="9:9" ht="15.75" customHeight="1">
      <c r="I369" s="13" t="str">
        <v/>
      </c>
    </row>
    <row r="370" spans="9:9" ht="15.75" customHeight="1">
      <c r="I370" s="13" t="str">
        <v/>
      </c>
    </row>
    <row r="371" spans="9:9" ht="15.75" customHeight="1">
      <c r="I371" s="13" t="str">
        <v/>
      </c>
    </row>
    <row r="372" spans="9:9" ht="15.75" customHeight="1">
      <c r="I372" s="13" t="str">
        <v/>
      </c>
    </row>
    <row r="373" spans="9:9" ht="15.75" customHeight="1">
      <c r="I373" s="13" t="str">
        <v/>
      </c>
    </row>
    <row r="374" spans="9:9" ht="15.75" customHeight="1">
      <c r="I374" s="13" t="str">
        <v/>
      </c>
    </row>
    <row r="375" spans="9:9" ht="15.75" customHeight="1">
      <c r="I375" s="13" t="str">
        <v/>
      </c>
    </row>
    <row r="376" spans="9:9" ht="15.75" customHeight="1">
      <c r="I376" s="13" t="str">
        <v/>
      </c>
    </row>
    <row r="377" spans="9:9" ht="15.75" customHeight="1">
      <c r="I377" s="13" t="str">
        <v/>
      </c>
    </row>
    <row r="378" spans="9:9" ht="15.75" customHeight="1">
      <c r="I378" s="13" t="str">
        <v/>
      </c>
    </row>
    <row r="379" spans="9:9" ht="15.75" customHeight="1">
      <c r="I379" s="13" t="str">
        <v/>
      </c>
    </row>
    <row r="380" spans="9:9" ht="15.75" customHeight="1">
      <c r="I380" s="13" t="str">
        <v/>
      </c>
    </row>
    <row r="381" spans="9:9" ht="15.75" customHeight="1">
      <c r="I381" s="13" t="str">
        <v/>
      </c>
    </row>
    <row r="382" spans="9:9" ht="15.75" customHeight="1">
      <c r="I382" s="13" t="str">
        <v/>
      </c>
    </row>
    <row r="383" spans="9:9" ht="15.75" customHeight="1">
      <c r="I383" s="13" t="str">
        <v/>
      </c>
    </row>
    <row r="384" spans="9:9" ht="15.75" customHeight="1">
      <c r="I384" s="13" t="str">
        <v/>
      </c>
    </row>
    <row r="385" spans="9:9" ht="15.75" customHeight="1">
      <c r="I385" s="13" t="str">
        <v/>
      </c>
    </row>
    <row r="386" spans="9:9" ht="15.75" customHeight="1">
      <c r="I386" s="13" t="str">
        <v/>
      </c>
    </row>
    <row r="387" spans="9:9" ht="15.75" customHeight="1">
      <c r="I387" s="13" t="str">
        <v/>
      </c>
    </row>
    <row r="388" spans="9:9" ht="15.75" customHeight="1">
      <c r="I388" s="13" t="str">
        <v/>
      </c>
    </row>
    <row r="389" spans="9:9" ht="15.75" customHeight="1">
      <c r="I389" s="13" t="str">
        <v/>
      </c>
    </row>
    <row r="390" spans="9:9" ht="15.75" customHeight="1">
      <c r="I390" s="13" t="str">
        <v/>
      </c>
    </row>
    <row r="391" spans="9:9" ht="15.75" customHeight="1">
      <c r="I391" s="13" t="str">
        <v/>
      </c>
    </row>
    <row r="392" spans="9:9" ht="15.75" customHeight="1">
      <c r="I392" s="13" t="str">
        <v/>
      </c>
    </row>
    <row r="393" spans="9:9" ht="15.75" customHeight="1">
      <c r="I393" s="13" t="str">
        <v/>
      </c>
    </row>
    <row r="394" spans="9:9" ht="15.75" customHeight="1">
      <c r="I394" s="13" t="str">
        <v/>
      </c>
    </row>
    <row r="395" spans="9:9" ht="15.75" customHeight="1">
      <c r="I395" s="13" t="str">
        <v/>
      </c>
    </row>
    <row r="396" spans="9:9" ht="15.75" customHeight="1">
      <c r="I396" s="13" t="str">
        <v/>
      </c>
    </row>
    <row r="397" spans="9:9" ht="15.75" customHeight="1">
      <c r="I397" s="13" t="str">
        <v/>
      </c>
    </row>
    <row r="398" spans="9:9" ht="15.75" customHeight="1">
      <c r="I398" s="13" t="str">
        <v/>
      </c>
    </row>
    <row r="399" spans="9:9" ht="15.75" customHeight="1">
      <c r="I399" s="13" t="str">
        <v/>
      </c>
    </row>
    <row r="400" spans="9:9" ht="15.75" customHeight="1">
      <c r="I400" s="13" t="str">
        <v/>
      </c>
    </row>
    <row r="401" spans="9:9" ht="15.75" customHeight="1">
      <c r="I401" s="13" t="str">
        <v/>
      </c>
    </row>
    <row r="402" spans="9:9" ht="15.75" customHeight="1">
      <c r="I402" s="13" t="str">
        <v/>
      </c>
    </row>
    <row r="403" spans="9:9" ht="15.75" customHeight="1">
      <c r="I403" s="13" t="str">
        <v/>
      </c>
    </row>
    <row r="404" spans="9:9" ht="15.75" customHeight="1">
      <c r="I404" s="13" t="str">
        <v/>
      </c>
    </row>
    <row r="405" spans="9:9" ht="15.75" customHeight="1">
      <c r="I405" s="13" t="str">
        <v/>
      </c>
    </row>
    <row r="406" spans="9:9" ht="15.75" customHeight="1">
      <c r="I406" s="13" t="str">
        <v/>
      </c>
    </row>
    <row r="407" spans="9:9" ht="15.75" customHeight="1">
      <c r="I407" s="13" t="str">
        <v/>
      </c>
    </row>
    <row r="408" spans="9:9" ht="15.75" customHeight="1">
      <c r="I408" s="13" t="str">
        <v/>
      </c>
    </row>
    <row r="409" spans="9:9" ht="15.75" customHeight="1">
      <c r="I409" s="13" t="str">
        <v/>
      </c>
    </row>
    <row r="410" spans="9:9" ht="15.75" customHeight="1">
      <c r="I410" s="13" t="str">
        <v/>
      </c>
    </row>
    <row r="411" spans="9:9" ht="15.75" customHeight="1">
      <c r="I411" s="13" t="str">
        <v/>
      </c>
    </row>
    <row r="412" spans="9:9" ht="15.75" customHeight="1">
      <c r="I412" s="13" t="str">
        <v/>
      </c>
    </row>
    <row r="413" spans="9:9" ht="15.75" customHeight="1">
      <c r="I413" s="13" t="str">
        <v/>
      </c>
    </row>
    <row r="414" spans="9:9" ht="15.75" customHeight="1">
      <c r="I414" s="13" t="str">
        <v/>
      </c>
    </row>
    <row r="415" spans="9:9" ht="15.75" customHeight="1">
      <c r="I415" s="13" t="str">
        <v/>
      </c>
    </row>
    <row r="416" spans="9:9" ht="15.75" customHeight="1">
      <c r="I416" s="13" t="str">
        <v/>
      </c>
    </row>
    <row r="417" spans="9:9" ht="15.75" customHeight="1">
      <c r="I417" s="13" t="str">
        <v/>
      </c>
    </row>
    <row r="418" spans="9:9" ht="15.75" customHeight="1">
      <c r="I418" s="13" t="str">
        <v/>
      </c>
    </row>
    <row r="419" spans="9:9" ht="15.75" customHeight="1">
      <c r="I419" s="13" t="str">
        <v/>
      </c>
    </row>
    <row r="420" spans="9:9" ht="15.75" customHeight="1">
      <c r="I420" s="13" t="str">
        <v/>
      </c>
    </row>
    <row r="421" spans="9:9" ht="15.75" customHeight="1">
      <c r="I421" s="13" t="str">
        <v/>
      </c>
    </row>
    <row r="422" spans="9:9" ht="15.75" customHeight="1">
      <c r="I422" s="13" t="str">
        <v/>
      </c>
    </row>
    <row r="423" spans="9:9" ht="15.75" customHeight="1">
      <c r="I423" s="13" t="str">
        <v/>
      </c>
    </row>
    <row r="424" spans="9:9" ht="15.75" customHeight="1">
      <c r="I424" s="13" t="str">
        <v/>
      </c>
    </row>
    <row r="425" spans="9:9" ht="15.75" customHeight="1">
      <c r="I425" s="13" t="str">
        <v/>
      </c>
    </row>
    <row r="426" spans="9:9" ht="15.75" customHeight="1">
      <c r="I426" s="13" t="str">
        <v/>
      </c>
    </row>
    <row r="427" spans="9:9" ht="15.75" customHeight="1">
      <c r="I427" s="13" t="str">
        <v/>
      </c>
    </row>
    <row r="428" spans="9:9" ht="15.75" customHeight="1">
      <c r="I428" s="13" t="str">
        <v/>
      </c>
    </row>
    <row r="429" spans="9:9" ht="15.75" customHeight="1">
      <c r="I429" s="13" t="str">
        <v/>
      </c>
    </row>
    <row r="430" spans="9:9" ht="15.75" customHeight="1">
      <c r="I430" s="13" t="str">
        <v/>
      </c>
    </row>
    <row r="431" spans="9:9" ht="15.75" customHeight="1">
      <c r="I431" s="13" t="str">
        <v/>
      </c>
    </row>
    <row r="432" spans="9:9" ht="15.75" customHeight="1">
      <c r="I432" s="13" t="str">
        <v/>
      </c>
    </row>
    <row r="433" spans="9:9" ht="15.75" customHeight="1">
      <c r="I433" s="13" t="str">
        <v/>
      </c>
    </row>
    <row r="434" spans="9:9" ht="15.75" customHeight="1">
      <c r="I434" s="13" t="str">
        <v/>
      </c>
    </row>
    <row r="435" spans="9:9" ht="15.75" customHeight="1">
      <c r="I435" s="13" t="str">
        <v/>
      </c>
    </row>
    <row r="436" spans="9:9" ht="15.75" customHeight="1">
      <c r="I436" s="13" t="str">
        <v/>
      </c>
    </row>
    <row r="437" spans="9:9" ht="15.75" customHeight="1">
      <c r="I437" s="13" t="str">
        <v/>
      </c>
    </row>
    <row r="438" spans="9:9" ht="15.75" customHeight="1">
      <c r="I438" s="13" t="str">
        <v/>
      </c>
    </row>
    <row r="439" spans="9:9" ht="15.75" customHeight="1">
      <c r="I439" s="13" t="str">
        <v/>
      </c>
    </row>
    <row r="440" spans="9:9" ht="15.75" customHeight="1">
      <c r="I440" s="13" t="str">
        <v/>
      </c>
    </row>
    <row r="441" spans="9:9" ht="15.75" customHeight="1">
      <c r="I441" s="13" t="str">
        <v/>
      </c>
    </row>
    <row r="442" spans="9:9" ht="15.75" customHeight="1">
      <c r="I442" s="13" t="str">
        <v/>
      </c>
    </row>
    <row r="443" spans="9:9" ht="15.75" customHeight="1">
      <c r="I443" s="13" t="str">
        <v/>
      </c>
    </row>
    <row r="444" spans="9:9" ht="15.75" customHeight="1">
      <c r="I444" s="13" t="str">
        <v/>
      </c>
    </row>
    <row r="445" spans="9:9" ht="15.75" customHeight="1">
      <c r="I445" s="13" t="str">
        <v/>
      </c>
    </row>
    <row r="446" spans="9:9" ht="15.75" customHeight="1">
      <c r="I446" s="13" t="str">
        <v/>
      </c>
    </row>
    <row r="447" spans="9:9" ht="15.75" customHeight="1">
      <c r="I447" s="13" t="str">
        <v/>
      </c>
    </row>
    <row r="448" spans="9:9" ht="15.75" customHeight="1">
      <c r="I448" s="13" t="str">
        <v/>
      </c>
    </row>
    <row r="449" spans="9:9" ht="15.75" customHeight="1">
      <c r="I449" s="13" t="str">
        <v/>
      </c>
    </row>
    <row r="450" spans="9:9" ht="15.75" customHeight="1">
      <c r="I450" s="13" t="str">
        <v/>
      </c>
    </row>
    <row r="451" spans="9:9" ht="15.75" customHeight="1">
      <c r="I451" s="13" t="str">
        <v/>
      </c>
    </row>
    <row r="452" spans="9:9" ht="15.75" customHeight="1">
      <c r="I452" s="13" t="str">
        <v/>
      </c>
    </row>
    <row r="453" spans="9:9" ht="15.75" customHeight="1">
      <c r="I453" s="13" t="str">
        <v/>
      </c>
    </row>
    <row r="454" spans="9:9" ht="15.75" customHeight="1">
      <c r="I454" s="13" t="str">
        <v/>
      </c>
    </row>
    <row r="455" spans="9:9" ht="15.75" customHeight="1">
      <c r="I455" s="13" t="str">
        <v/>
      </c>
    </row>
    <row r="456" spans="9:9" ht="15.75" customHeight="1">
      <c r="I456" s="13" t="str">
        <v/>
      </c>
    </row>
    <row r="457" spans="9:9" ht="15.75" customHeight="1">
      <c r="I457" s="13" t="str">
        <v/>
      </c>
    </row>
    <row r="458" spans="9:9" ht="15.75" customHeight="1">
      <c r="I458" s="13" t="str">
        <v/>
      </c>
    </row>
    <row r="459" spans="9:9" ht="15.75" customHeight="1">
      <c r="I459" s="13" t="str">
        <v/>
      </c>
    </row>
    <row r="460" spans="9:9" ht="15.75" customHeight="1">
      <c r="I460" s="13" t="str">
        <v/>
      </c>
    </row>
    <row r="461" spans="9:9" ht="15.75" customHeight="1">
      <c r="I461" s="13" t="str">
        <v/>
      </c>
    </row>
    <row r="462" spans="9:9" ht="15.75" customHeight="1">
      <c r="I462" s="13" t="str">
        <v/>
      </c>
    </row>
    <row r="463" spans="9:9" ht="15.75" customHeight="1">
      <c r="I463" s="13" t="str">
        <v/>
      </c>
    </row>
    <row r="464" spans="9:9" ht="15.75" customHeight="1">
      <c r="I464" s="13" t="str">
        <v/>
      </c>
    </row>
    <row r="465" spans="9:9" ht="15.75" customHeight="1">
      <c r="I465" s="13" t="str">
        <v/>
      </c>
    </row>
    <row r="466" spans="9:9" ht="15.75" customHeight="1">
      <c r="I466" s="13" t="str">
        <v/>
      </c>
    </row>
    <row r="467" spans="9:9" ht="15.75" customHeight="1">
      <c r="I467" s="13" t="str">
        <v/>
      </c>
    </row>
    <row r="468" spans="9:9" ht="15.75" customHeight="1">
      <c r="I468" s="13" t="str">
        <v/>
      </c>
    </row>
    <row r="469" spans="9:9" ht="15.75" customHeight="1">
      <c r="I469" s="13" t="str">
        <v/>
      </c>
    </row>
    <row r="470" spans="9:9" ht="15.75" customHeight="1">
      <c r="I470" s="13" t="str">
        <v/>
      </c>
    </row>
    <row r="471" spans="9:9" ht="15.75" customHeight="1">
      <c r="I471" s="13" t="str">
        <v/>
      </c>
    </row>
    <row r="472" spans="9:9" ht="15.75" customHeight="1">
      <c r="I472" s="13" t="str">
        <v/>
      </c>
    </row>
    <row r="473" spans="9:9" ht="15.75" customHeight="1">
      <c r="I473" s="13" t="str">
        <v/>
      </c>
    </row>
    <row r="474" spans="9:9" ht="15.75" customHeight="1">
      <c r="I474" s="13" t="str">
        <v/>
      </c>
    </row>
    <row r="475" spans="9:9" ht="15.75" customHeight="1">
      <c r="I475" s="13" t="str">
        <v/>
      </c>
    </row>
    <row r="476" spans="9:9" ht="15.75" customHeight="1">
      <c r="I476" s="13" t="str">
        <v/>
      </c>
    </row>
    <row r="477" spans="9:9" ht="15.75" customHeight="1">
      <c r="I477" s="13" t="str">
        <v/>
      </c>
    </row>
    <row r="478" spans="9:9" ht="15.75" customHeight="1">
      <c r="I478" s="13" t="str">
        <v/>
      </c>
    </row>
    <row r="479" spans="9:9" ht="15.75" customHeight="1">
      <c r="I479" s="13" t="str">
        <v/>
      </c>
    </row>
    <row r="480" spans="9:9" ht="15.75" customHeight="1">
      <c r="I480" s="13" t="str">
        <v/>
      </c>
    </row>
    <row r="481" spans="9:9" ht="15.75" customHeight="1">
      <c r="I481" s="13" t="str">
        <v/>
      </c>
    </row>
    <row r="482" spans="9:9" ht="15.75" customHeight="1">
      <c r="I482" s="13" t="str">
        <v/>
      </c>
    </row>
    <row r="483" spans="9:9" ht="15.75" customHeight="1">
      <c r="I483" s="13" t="str">
        <v/>
      </c>
    </row>
    <row r="484" spans="9:9" ht="15.75" customHeight="1">
      <c r="I484" s="13" t="str">
        <v/>
      </c>
    </row>
    <row r="485" spans="9:9" ht="15.75" customHeight="1">
      <c r="I485" s="13" t="str">
        <v/>
      </c>
    </row>
    <row r="486" spans="9:9" ht="15.75" customHeight="1">
      <c r="I486" s="13" t="str">
        <v/>
      </c>
    </row>
    <row r="487" spans="9:9" ht="15.75" customHeight="1">
      <c r="I487" s="13" t="str">
        <v/>
      </c>
    </row>
    <row r="488" spans="9:9" ht="15.75" customHeight="1">
      <c r="I488" s="13" t="str">
        <v/>
      </c>
    </row>
    <row r="489" spans="9:9" ht="15.75" customHeight="1">
      <c r="I489" s="13" t="str">
        <v/>
      </c>
    </row>
    <row r="490" spans="9:9" ht="15.75" customHeight="1">
      <c r="I490" s="13" t="str">
        <v/>
      </c>
    </row>
    <row r="491" spans="9:9" ht="15.75" customHeight="1">
      <c r="I491" s="13" t="str">
        <v/>
      </c>
    </row>
    <row r="492" spans="9:9" ht="15.75" customHeight="1">
      <c r="I492" s="13" t="str">
        <v/>
      </c>
    </row>
    <row r="493" spans="9:9" ht="15.75" customHeight="1">
      <c r="I493" s="13" t="str">
        <v/>
      </c>
    </row>
    <row r="494" spans="9:9" ht="15.75" customHeight="1">
      <c r="I494" s="13" t="str">
        <v/>
      </c>
    </row>
    <row r="495" spans="9:9" ht="15.75" customHeight="1">
      <c r="I495" s="13" t="str">
        <v/>
      </c>
    </row>
    <row r="496" spans="9:9" ht="15.75" customHeight="1">
      <c r="I496" s="13" t="str">
        <v/>
      </c>
    </row>
    <row r="497" spans="9:9" ht="15.75" customHeight="1">
      <c r="I497" s="13" t="str">
        <v/>
      </c>
    </row>
    <row r="498" spans="9:9" ht="15.75" customHeight="1">
      <c r="I498" s="13" t="str">
        <v/>
      </c>
    </row>
    <row r="499" spans="9:9" ht="15.75" customHeight="1">
      <c r="I499" s="13" t="str">
        <v/>
      </c>
    </row>
    <row r="500" spans="9:9" ht="15.75" customHeight="1">
      <c r="I500" s="13" t="str">
        <v/>
      </c>
    </row>
    <row r="501" spans="9:9" ht="15.75" customHeight="1">
      <c r="I501" s="13" t="str">
        <v/>
      </c>
    </row>
    <row r="502" spans="9:9" ht="15.75" customHeight="1"/>
    <row r="503" spans="9:9" ht="15.75" customHeight="1"/>
    <row r="504" spans="9:9" ht="15.75" customHeight="1"/>
    <row r="505" spans="9:9" ht="15.75" customHeight="1"/>
    <row r="506" spans="9:9" ht="15.75" customHeight="1"/>
    <row r="507" spans="9:9" ht="15.75" customHeight="1"/>
    <row r="508" spans="9:9" ht="15.75" customHeight="1"/>
    <row r="509" spans="9:9" ht="15.75" customHeight="1"/>
    <row r="510" spans="9:9" ht="15.75" customHeight="1"/>
    <row r="511" spans="9:9" ht="15.75" customHeight="1"/>
    <row r="512" spans="9:9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48576" spans="5:5" ht="15" customHeight="1">
      <c r="E1048576" s="8">
        <f>SUM(E2:E1048575)</f>
        <v>10100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9E74-940B-49F4-AD14-81B339496516}">
  <dimension ref="F2:X28"/>
  <sheetViews>
    <sheetView topLeftCell="B3" workbookViewId="0">
      <selection activeCell="E3" sqref="E3"/>
    </sheetView>
  </sheetViews>
  <sheetFormatPr defaultRowHeight="12.75"/>
  <sheetData>
    <row r="2" spans="6:24" ht="18">
      <c r="H2" s="10"/>
      <c r="J2" s="10"/>
      <c r="K2" s="10"/>
    </row>
    <row r="3" spans="6:24" ht="18">
      <c r="H3" s="10"/>
      <c r="I3" s="10"/>
      <c r="J3" s="10"/>
      <c r="K3" s="10"/>
    </row>
    <row r="4" spans="6:24" ht="18">
      <c r="F4" s="21"/>
      <c r="G4" s="22"/>
      <c r="H4" s="23"/>
      <c r="I4" s="23"/>
      <c r="J4" s="23" t="s">
        <v>134</v>
      </c>
      <c r="K4" s="23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4"/>
    </row>
    <row r="5" spans="6:24">
      <c r="F5" s="2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7"/>
    </row>
    <row r="6" spans="6:24"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7"/>
    </row>
    <row r="7" spans="6:24" ht="18">
      <c r="F7" s="25">
        <v>1</v>
      </c>
      <c r="G7" s="28" t="s">
        <v>123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7"/>
    </row>
    <row r="8" spans="6:24" ht="18">
      <c r="F8" s="25"/>
      <c r="G8" s="28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</row>
    <row r="9" spans="6:24" ht="18">
      <c r="F9" s="25">
        <v>2</v>
      </c>
      <c r="G9" s="28" t="s">
        <v>128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7"/>
    </row>
    <row r="10" spans="6:24" ht="18">
      <c r="F10" s="25"/>
      <c r="G10" s="28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7"/>
    </row>
    <row r="11" spans="6:24" ht="18">
      <c r="F11" s="25">
        <v>3</v>
      </c>
      <c r="G11" s="28" t="s">
        <v>130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7"/>
    </row>
    <row r="12" spans="6:24" ht="18">
      <c r="F12" s="25"/>
      <c r="G12" s="28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7"/>
    </row>
    <row r="13" spans="6:24" ht="18">
      <c r="F13" s="25">
        <v>4</v>
      </c>
      <c r="G13" s="28" t="s">
        <v>129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7"/>
    </row>
    <row r="14" spans="6:24" ht="18">
      <c r="F14" s="25"/>
      <c r="G14" s="28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7"/>
    </row>
    <row r="15" spans="6:24" ht="18">
      <c r="F15" s="25">
        <v>5</v>
      </c>
      <c r="G15" s="28" t="s">
        <v>131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7"/>
    </row>
    <row r="16" spans="6:24" ht="18">
      <c r="F16" s="25"/>
      <c r="G16" s="28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7"/>
    </row>
    <row r="17" spans="6:24" ht="18">
      <c r="F17" s="25">
        <v>6</v>
      </c>
      <c r="G17" s="28" t="s">
        <v>132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7"/>
    </row>
    <row r="18" spans="6:24" ht="18">
      <c r="F18" s="25"/>
      <c r="G18" s="28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7"/>
    </row>
    <row r="19" spans="6:24" ht="18">
      <c r="F19" s="25">
        <v>7</v>
      </c>
      <c r="G19" s="28" t="s">
        <v>133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7"/>
    </row>
    <row r="20" spans="6:24" ht="18">
      <c r="F20" s="25"/>
      <c r="G20" s="28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7"/>
    </row>
    <row r="21" spans="6:24" ht="18">
      <c r="F21" s="25">
        <v>8</v>
      </c>
      <c r="G21" s="28" t="s">
        <v>124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7"/>
    </row>
    <row r="22" spans="6:24" ht="18">
      <c r="F22" s="25"/>
      <c r="G22" s="28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7"/>
    </row>
    <row r="23" spans="6:24" ht="15.75">
      <c r="F23" s="25">
        <v>9</v>
      </c>
      <c r="G23" s="29" t="s">
        <v>125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7"/>
    </row>
    <row r="24" spans="6:24" ht="15.75">
      <c r="F24" s="25"/>
      <c r="G24" s="29" t="s">
        <v>126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7"/>
    </row>
    <row r="25" spans="6:24" ht="15.75">
      <c r="F25" s="25"/>
      <c r="G25" s="29" t="s">
        <v>127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7"/>
    </row>
    <row r="26" spans="6:24">
      <c r="F26" s="2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7"/>
    </row>
    <row r="27" spans="6:24"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7"/>
    </row>
    <row r="28" spans="6:24">
      <c r="F28" s="30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27972E-26CB-44FA-B3C1-7A84622A70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DATASET AND SUMMARY SHEET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2026-06-21T17:48:53Z</dcterms:created>
  <dcterms:modified xsi:type="dcterms:W3CDTF">2026-06-22T17:16:32Z</dcterms:modified>
</cp:coreProperties>
</file>