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yanr\Downloads\"/>
    </mc:Choice>
  </mc:AlternateContent>
  <xr:revisionPtr revIDLastSave="0" documentId="8_{913C20FB-8AEF-4E64-8FBE-F78C15E95576}" xr6:coauthVersionLast="47" xr6:coauthVersionMax="47" xr10:uidLastSave="{00000000-0000-0000-0000-000000000000}"/>
  <bookViews>
    <workbookView xWindow="2730" yWindow="1710" windowWidth="24165" windowHeight="14490" firstSheet="1" activeTab="1" xr2:uid="{00000000-000D-0000-FFFF-FFFF00000000}"/>
  </bookViews>
  <sheets>
    <sheet name="Dataset" sheetId="1" r:id="rId1"/>
    <sheet name="1.Handling Missing values" sheetId="18" r:id="rId2"/>
    <sheet name="2. Corrected Inconsistent data" sheetId="4" r:id="rId3"/>
    <sheet name="3.Removing Duplicates" sheetId="8" r:id="rId4"/>
    <sheet name="4.Spliting and Merging Column" sheetId="15" r:id="rId5"/>
    <sheet name="5. Number Formating" sheetId="16" r:id="rId6"/>
    <sheet name="6.Conditional Formating" sheetId="17" r:id="rId7"/>
    <sheet name="Cleaned Data Set" sheetId="19" r:id="rId8"/>
    <sheet name="Summary &amp; Observations" sheetId="5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hJb8T1ZghnA6qFS/bC5j8xshLTM/vtIaNva7vzkMTCI="/>
    </ext>
  </extLst>
</workbook>
</file>

<file path=xl/calcChain.xml><?xml version="1.0" encoding="utf-8"?>
<calcChain xmlns="http://schemas.openxmlformats.org/spreadsheetml/2006/main">
  <c r="E33" i="19" l="1"/>
  <c r="E32" i="19"/>
  <c r="E31" i="19"/>
  <c r="E30" i="19"/>
  <c r="E29" i="19"/>
  <c r="E28" i="19"/>
  <c r="E27" i="19"/>
  <c r="E26" i="19"/>
  <c r="E25" i="19"/>
  <c r="E24" i="19"/>
  <c r="E23" i="19"/>
  <c r="E22" i="19"/>
  <c r="E21" i="19"/>
  <c r="E20" i="19"/>
  <c r="E19" i="19"/>
  <c r="E18" i="19"/>
  <c r="E17" i="19"/>
  <c r="E16" i="19"/>
  <c r="E15" i="19"/>
  <c r="E14" i="19"/>
  <c r="E13" i="19"/>
  <c r="E12" i="19"/>
  <c r="E11" i="19"/>
  <c r="E10" i="19"/>
  <c r="E9" i="19"/>
  <c r="E8" i="19"/>
  <c r="E7" i="19"/>
  <c r="E6" i="19"/>
  <c r="E5" i="19"/>
  <c r="E4" i="19"/>
  <c r="E3" i="19"/>
  <c r="E2" i="19"/>
  <c r="M20" i="18"/>
  <c r="M9" i="18"/>
  <c r="E33" i="17"/>
  <c r="E32" i="17"/>
  <c r="E31" i="17"/>
  <c r="E30" i="17"/>
  <c r="E29" i="17"/>
  <c r="E28" i="17"/>
  <c r="E27" i="17"/>
  <c r="E26" i="17"/>
  <c r="E25" i="17"/>
  <c r="E24" i="17"/>
  <c r="E23" i="17"/>
  <c r="E22" i="17"/>
  <c r="E21" i="17"/>
  <c r="E20" i="17"/>
  <c r="E19" i="17"/>
  <c r="E18" i="17"/>
  <c r="E17" i="17"/>
  <c r="E16" i="17"/>
  <c r="E15" i="17"/>
  <c r="E14" i="17"/>
  <c r="E13" i="17"/>
  <c r="E12" i="17"/>
  <c r="E11" i="17"/>
  <c r="E10" i="17"/>
  <c r="E9" i="17"/>
  <c r="E8" i="17"/>
  <c r="E7" i="17"/>
  <c r="E6" i="17"/>
  <c r="E5" i="17"/>
  <c r="E4" i="17"/>
  <c r="E3" i="17"/>
  <c r="E2" i="17"/>
  <c r="E33" i="16"/>
  <c r="E32" i="16"/>
  <c r="E31" i="16"/>
  <c r="E30" i="16"/>
  <c r="E29" i="16"/>
  <c r="E28" i="16"/>
  <c r="E27" i="16"/>
  <c r="E26" i="16"/>
  <c r="E25" i="16"/>
  <c r="E24" i="16"/>
  <c r="E23" i="16"/>
  <c r="E22" i="16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6" i="16"/>
  <c r="E5" i="16"/>
  <c r="E4" i="16"/>
  <c r="E3" i="16"/>
  <c r="E2" i="16"/>
  <c r="E2" i="15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</calcChain>
</file>

<file path=xl/sharedStrings.xml><?xml version="1.0" encoding="utf-8"?>
<sst xmlns="http://schemas.openxmlformats.org/spreadsheetml/2006/main" count="1182" uniqueCount="176">
  <si>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</si>
  <si>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</si>
  <si>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</si>
  <si>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</si>
  <si>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</si>
  <si>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</si>
  <si>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</si>
  <si>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</si>
  <si>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</si>
  <si>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</si>
  <si>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</si>
  <si>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</si>
  <si>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</si>
  <si>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</si>
  <si>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</si>
  <si>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</si>
  <si>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</si>
  <si>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</si>
  <si>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</si>
  <si>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</si>
  <si>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</si>
  <si>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</si>
  <si>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</si>
  <si>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</si>
  <si>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</si>
  <si>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</si>
  <si>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</si>
  <si>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</si>
  <si>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</si>
  <si>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</si>
  <si>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</si>
  <si>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</si>
  <si>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</si>
  <si>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</si>
  <si>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</si>
  <si>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</si>
  <si>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</si>
  <si>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</si>
  <si>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</si>
  <si>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</si>
  <si>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</si>
  <si>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</si>
  <si>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</si>
  <si>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</si>
  <si>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</si>
  <si>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</si>
  <si>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</si>
  <si>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</si>
  <si>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</si>
  <si>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</si>
  <si>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</si>
  <si>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</si>
  <si>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</si>
  <si>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</si>
  <si>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</si>
  <si>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</si>
  <si>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</si>
  <si>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</si>
  <si>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</si>
  <si>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</si>
  <si>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</si>
  <si>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</si>
  <si>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</si>
  <si>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</si>
  <si>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</si>
  <si>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</si>
  <si>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</si>
  <si>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</si>
  <si>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</si>
  <si>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</si>
  <si>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</si>
  <si>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</si>
  <si>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</si>
  <si>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</si>
  <si>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</si>
  <si>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</si>
  <si>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</si>
  <si>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</si>
  <si>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</si>
  <si>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</si>
  <si>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</si>
  <si>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</si>
  <si>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</si>
  <si>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</si>
  <si>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</si>
  <si>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</si>
  <si>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</si>
  <si>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</si>
  <si>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</si>
  <si>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</si>
  <si>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</si>
  <si>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</si>
  <si>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</si>
  <si>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First, identify missing values using:</t>
  </si>
  <si>
    <t>If products had missing prices, the following approaches could be used:</t>
  </si>
  <si>
    <t>Example formula:</t>
  </si>
  <si>
    <t>Misssing value in Price</t>
  </si>
  <si>
    <t>**If very few records are missing and no reliable estimate is possible, remove those rows.</t>
  </si>
  <si>
    <r>
      <t xml:space="preserve">Since the dataset currently has </t>
    </r>
    <r>
      <rPr>
        <b/>
        <sz val="12"/>
        <color rgb="FF000000"/>
        <rFont val="Arial"/>
        <family val="2"/>
        <scheme val="minor"/>
      </rPr>
      <t>0 missing values</t>
    </r>
    <r>
      <rPr>
        <sz val="12"/>
        <color rgb="FF000000"/>
        <rFont val="Arial"/>
        <family val="2"/>
        <scheme val="minor"/>
      </rPr>
      <t>, no action is required.</t>
    </r>
  </si>
  <si>
    <r>
      <t xml:space="preserve">**Replace missing prices with the </t>
    </r>
    <r>
      <rPr>
        <b/>
        <sz val="12"/>
        <color rgb="FF000000"/>
        <rFont val="Arial"/>
        <family val="2"/>
        <scheme val="minor"/>
      </rPr>
      <t>average price</t>
    </r>
    <r>
      <rPr>
        <sz val="12"/>
        <color rgb="FF000000"/>
        <rFont val="Arial"/>
        <family val="2"/>
        <scheme val="minor"/>
      </rPr>
      <t xml:space="preserve"> of products in the same category.</t>
    </r>
  </si>
  <si>
    <r>
      <t xml:space="preserve">**Use the </t>
    </r>
    <r>
      <rPr>
        <b/>
        <sz val="12"/>
        <color rgb="FF000000"/>
        <rFont val="Arial"/>
        <family val="2"/>
        <scheme val="minor"/>
      </rPr>
      <t>median price</t>
    </r>
    <r>
      <rPr>
        <sz val="12"/>
        <color rgb="FF000000"/>
        <rFont val="Arial"/>
        <family val="2"/>
        <scheme val="minor"/>
      </rPr>
      <t xml:space="preserve"> if the data contains extreme values (outliers).</t>
    </r>
  </si>
  <si>
    <t>AVERAGE()</t>
  </si>
  <si>
    <t>Check for missing categories using:</t>
  </si>
  <si>
    <t>If categories were missing, the following strategies could be applied:</t>
  </si>
  <si>
    <t>Sneakers → Fashion</t>
  </si>
  <si>
    <t>Use the most frequent category for similar products.</t>
  </si>
  <si>
    <t>Conclusion</t>
  </si>
  <si>
    <t>Therefore, the dataset is complete and does not require any imputation for these two columns.</t>
  </si>
  <si>
    <t>1. Handling Missing Values in the Price  Column</t>
  </si>
  <si>
    <t>Missing value in Category Column</t>
  </si>
  <si>
    <t>Most frequent category means that MODE The vale appear most often in the Data set.</t>
  </si>
  <si>
    <t>"Missing category values can be filled with the most common category because it helps maintain the overall pattern of the data."</t>
  </si>
  <si>
    <r>
      <t xml:space="preserve">The current dataset contains </t>
    </r>
    <r>
      <rPr>
        <b/>
        <sz val="12"/>
        <color rgb="FF000000"/>
        <rFont val="Arial"/>
        <family val="2"/>
        <scheme val="minor"/>
      </rPr>
      <t>no missing categories</t>
    </r>
    <r>
      <rPr>
        <sz val="12"/>
        <color rgb="FF000000"/>
        <rFont val="Arial"/>
        <family val="2"/>
        <scheme val="minor"/>
      </rPr>
      <t>.</t>
    </r>
  </si>
  <si>
    <r>
      <t xml:space="preserve">Assign the category based on the </t>
    </r>
    <r>
      <rPr>
        <b/>
        <sz val="12"/>
        <color rgb="FF000000"/>
        <rFont val="Arial"/>
        <family val="2"/>
        <scheme val="minor"/>
      </rPr>
      <t>Product Name</t>
    </r>
    <r>
      <rPr>
        <sz val="12"/>
        <color rgb="FF000000"/>
        <rFont val="Arial"/>
        <family val="2"/>
        <scheme val="minor"/>
      </rPr>
      <t xml:space="preserve"> </t>
    </r>
  </si>
  <si>
    <r>
      <t xml:space="preserve">Example: </t>
    </r>
    <r>
      <rPr>
        <i/>
        <sz val="12"/>
        <color rgb="FF000000"/>
        <rFont val="Arial"/>
        <family val="2"/>
        <scheme val="minor"/>
      </rPr>
      <t>Laptop → Electronics</t>
    </r>
  </si>
  <si>
    <r>
      <t xml:space="preserve">If the category cannot be determined, label it as </t>
    </r>
    <r>
      <rPr>
        <b/>
        <sz val="12"/>
        <color rgb="FF000000"/>
        <rFont val="Arial"/>
        <family val="2"/>
        <scheme val="minor"/>
      </rPr>
      <t>"Unknown"</t>
    </r>
    <r>
      <rPr>
        <sz val="12"/>
        <color rgb="FF000000"/>
        <rFont val="Arial"/>
        <family val="2"/>
        <scheme val="minor"/>
      </rPr>
      <t xml:space="preserve"> for further review.</t>
    </r>
  </si>
  <si>
    <r>
      <t>Price column:</t>
    </r>
    <r>
      <rPr>
        <sz val="12"/>
        <color rgb="FF000000"/>
        <rFont val="Arial"/>
        <family val="2"/>
        <scheme val="minor"/>
      </rPr>
      <t xml:space="preserve"> No missing values found.</t>
    </r>
  </si>
  <si>
    <r>
      <t>Category column:</t>
    </r>
    <r>
      <rPr>
        <sz val="12"/>
        <color rgb="FF000000"/>
        <rFont val="Arial"/>
        <family val="2"/>
        <scheme val="minor"/>
      </rPr>
      <t xml:space="preserve"> No missing values found.</t>
    </r>
  </si>
  <si>
    <t xml:space="preserve"> Handling Missing Values in the Category Column</t>
  </si>
  <si>
    <t>2. Correcting Inconsistent Data</t>
  </si>
  <si>
    <t>"Inconsistent data is data that has different formats, spellings, or styles for the same information, which can cause errors in analysis."</t>
  </si>
  <si>
    <t>"After examining the Category column, no typos or misspellings were found. All category values were consistent and correctly formatted."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</si>
  <si>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</si>
  <si>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</si>
  <si>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</si>
  <si>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</si>
  <si>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</si>
  <si>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</si>
  <si>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</si>
  <si>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</si>
  <si>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</si>
  <si>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</si>
  <si>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</si>
  <si>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</si>
  <si>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Product Brand</t>
  </si>
  <si>
    <t>Original Row</t>
  </si>
  <si>
    <t>Duplicate Row</t>
  </si>
  <si>
    <t>Duplicate Record</t>
  </si>
  <si>
    <r>
      <t xml:space="preserve">Product ID: </t>
    </r>
    <r>
      <rPr>
        <b/>
        <sz val="10"/>
        <color rgb="FF000000"/>
        <rFont val="Arial"/>
        <scheme val="minor"/>
      </rPr>
      <t>21-AUG-CA</t>
    </r>
    <r>
      <rPr>
        <sz val="10"/>
        <color rgb="FF000000"/>
        <rFont val="Arial"/>
        <scheme val="minor"/>
      </rPr>
      <t xml:space="preserve">, Product Name: </t>
    </r>
    <r>
      <rPr>
        <b/>
        <sz val="10"/>
        <color rgb="FF000000"/>
        <rFont val="Arial"/>
        <scheme val="minor"/>
      </rPr>
      <t>Laptop Bag</t>
    </r>
    <r>
      <rPr>
        <sz val="10"/>
        <color rgb="FF000000"/>
        <rFont val="Arial"/>
        <scheme val="minor"/>
      </rPr>
      <t xml:space="preserve">, Brand: </t>
    </r>
    <r>
      <rPr>
        <b/>
        <sz val="10"/>
        <color rgb="FF000000"/>
        <rFont val="Arial"/>
        <scheme val="minor"/>
      </rPr>
      <t>Samsonite</t>
    </r>
    <r>
      <rPr>
        <sz val="10"/>
        <color rgb="FF000000"/>
        <rFont val="Arial"/>
        <scheme val="minor"/>
      </rPr>
      <t xml:space="preserve">, Price: </t>
    </r>
    <r>
      <rPr>
        <b/>
        <sz val="10"/>
        <color rgb="FF000000"/>
        <rFont val="Arial"/>
        <scheme val="minor"/>
      </rPr>
      <t>50</t>
    </r>
    <r>
      <rPr>
        <sz val="10"/>
        <color rgb="FF000000"/>
        <rFont val="Arial"/>
        <scheme val="minor"/>
      </rPr>
      <t xml:space="preserve">, Quantity: </t>
    </r>
    <r>
      <rPr>
        <b/>
        <sz val="10"/>
        <color rgb="FF000000"/>
        <rFont val="Arial"/>
        <scheme val="minor"/>
      </rPr>
      <t>35</t>
    </r>
    <r>
      <rPr>
        <sz val="10"/>
        <color rgb="FF000000"/>
        <rFont val="Arial"/>
        <scheme val="minor"/>
      </rPr>
      <t xml:space="preserve">, Category: </t>
    </r>
    <r>
      <rPr>
        <b/>
        <sz val="10"/>
        <color rgb="FF000000"/>
        <rFont val="Arial"/>
        <scheme val="minor"/>
      </rPr>
      <t>Accessories</t>
    </r>
  </si>
  <si>
    <r>
      <t xml:space="preserve">Product ID: </t>
    </r>
    <r>
      <rPr>
        <b/>
        <sz val="10"/>
        <color rgb="FF000000"/>
        <rFont val="Arial"/>
        <scheme val="minor"/>
      </rPr>
      <t>17-JUN-IN</t>
    </r>
    <r>
      <rPr>
        <sz val="10"/>
        <color rgb="FF000000"/>
        <rFont val="Arial"/>
        <scheme val="minor"/>
      </rPr>
      <t xml:space="preserve">, Product Name: </t>
    </r>
    <r>
      <rPr>
        <b/>
        <sz val="10"/>
        <color rgb="FF000000"/>
        <rFont val="Arial"/>
        <scheme val="minor"/>
      </rPr>
      <t>Laptop</t>
    </r>
    <r>
      <rPr>
        <sz val="10"/>
        <color rgb="FF000000"/>
        <rFont val="Arial"/>
        <scheme val="minor"/>
      </rPr>
      <t xml:space="preserve">, Brand: </t>
    </r>
    <r>
      <rPr>
        <b/>
        <sz val="10"/>
        <color rgb="FF000000"/>
        <rFont val="Arial"/>
        <scheme val="minor"/>
      </rPr>
      <t>HP</t>
    </r>
    <r>
      <rPr>
        <sz val="10"/>
        <color rgb="FF000000"/>
        <rFont val="Arial"/>
        <scheme val="minor"/>
      </rPr>
      <t xml:space="preserve">, Price: </t>
    </r>
    <r>
      <rPr>
        <b/>
        <sz val="10"/>
        <color rgb="FF000000"/>
        <rFont val="Arial"/>
        <scheme val="minor"/>
      </rPr>
      <t>950</t>
    </r>
    <r>
      <rPr>
        <sz val="10"/>
        <color rgb="FF000000"/>
        <rFont val="Arial"/>
        <scheme val="minor"/>
      </rPr>
      <t xml:space="preserve">, Quantity: </t>
    </r>
    <r>
      <rPr>
        <b/>
        <sz val="10"/>
        <color rgb="FF000000"/>
        <rFont val="Arial"/>
        <scheme val="minor"/>
      </rPr>
      <t>25</t>
    </r>
    <r>
      <rPr>
        <sz val="10"/>
        <color rgb="FF000000"/>
        <rFont val="Arial"/>
        <scheme val="minor"/>
      </rPr>
      <t xml:space="preserve">, Category: </t>
    </r>
    <r>
      <rPr>
        <b/>
        <sz val="10"/>
        <color rgb="FF000000"/>
        <rFont val="Arial"/>
        <scheme val="minor"/>
      </rPr>
      <t>Electronics</t>
    </r>
  </si>
  <si>
    <t>Summary</t>
  </si>
  <si>
    <r>
      <t>Total records:</t>
    </r>
    <r>
      <rPr>
        <sz val="10"/>
        <color rgb="FF000000"/>
        <rFont val="Arial"/>
        <scheme val="minor"/>
      </rPr>
      <t xml:space="preserve"> 34</t>
    </r>
  </si>
  <si>
    <r>
      <t>Duplicate records found:</t>
    </r>
    <r>
      <rPr>
        <sz val="10"/>
        <color rgb="FF000000"/>
        <rFont val="Arial"/>
        <scheme val="minor"/>
      </rPr>
      <t xml:space="preserve"> 2</t>
    </r>
  </si>
  <si>
    <r>
      <t>Unique records after removing duplicates:</t>
    </r>
    <r>
      <rPr>
        <sz val="10"/>
        <color rgb="FF000000"/>
        <rFont val="Arial"/>
        <scheme val="minor"/>
      </rPr>
      <t xml:space="preserve"> 32</t>
    </r>
  </si>
  <si>
    <t>Two duplicate entries were found and removed, reducing the total number of records from 34 to 32.</t>
  </si>
  <si>
    <t>This improved the accuracy and consistency of the dataset.</t>
  </si>
  <si>
    <r>
      <t>Observation:</t>
    </r>
    <r>
      <rPr>
        <sz val="10"/>
        <color rgb="FF000000"/>
        <rFont val="Arial"/>
        <scheme val="minor"/>
      </rPr>
      <t xml:space="preserve"> The dataset was checked for duplicate records. </t>
    </r>
  </si>
  <si>
    <r>
      <t xml:space="preserve">3. checked your Excel dataset and found </t>
    </r>
    <r>
      <rPr>
        <b/>
        <sz val="12"/>
        <color rgb="FF000000"/>
        <rFont val="Arial"/>
        <family val="2"/>
        <scheme val="minor"/>
      </rPr>
      <t>2 duplicate records</t>
    </r>
    <r>
      <rPr>
        <sz val="12"/>
        <color rgb="FF000000"/>
        <rFont val="Arial"/>
        <family val="2"/>
        <scheme val="minor"/>
      </rPr>
      <t>.</t>
    </r>
  </si>
  <si>
    <t xml:space="preserve"> Unnecessary characters were removed to make the data easy to read. </t>
  </si>
  <si>
    <t>. The Brand Name and Product Name columns were merged into a new column called Product Brand, making the product details clearer and easier to understand.</t>
  </si>
  <si>
    <r>
      <t xml:space="preserve">The </t>
    </r>
    <r>
      <rPr>
        <b/>
        <sz val="10"/>
        <color rgb="FF000000"/>
        <rFont val="Arial"/>
        <family val="2"/>
        <scheme val="minor"/>
      </rPr>
      <t>Product ID</t>
    </r>
    <r>
      <rPr>
        <sz val="10"/>
        <color rgb="FF000000"/>
        <rFont val="Arial"/>
        <family val="2"/>
        <scheme val="minor"/>
      </rPr>
      <t xml:space="preserve"> column was split into </t>
    </r>
    <r>
      <rPr>
        <b/>
        <sz val="10"/>
        <color rgb="FF000000"/>
        <rFont val="Arial"/>
        <family val="2"/>
        <scheme val="minor"/>
      </rPr>
      <t>Manufacturing Date</t>
    </r>
    <r>
      <rPr>
        <sz val="10"/>
        <color rgb="FF000000"/>
        <rFont val="Arial"/>
        <family val="2"/>
        <scheme val="minor"/>
      </rPr>
      <t xml:space="preserve"> and </t>
    </r>
    <r>
      <rPr>
        <b/>
        <sz val="10"/>
        <color rgb="FF000000"/>
        <rFont val="Arial"/>
        <family val="2"/>
        <scheme val="minor"/>
      </rPr>
      <t>Country Code</t>
    </r>
    <r>
      <rPr>
        <sz val="10"/>
        <color rgb="FF000000"/>
        <rFont val="Arial"/>
        <family val="2"/>
        <scheme val="minor"/>
      </rPr>
      <t>.</t>
    </r>
  </si>
  <si>
    <t>4. Splitting and Merging Data:</t>
  </si>
  <si>
    <t>5. Number Formatting:</t>
  </si>
  <si>
    <r>
      <t xml:space="preserve">The </t>
    </r>
    <r>
      <rPr>
        <b/>
        <sz val="10"/>
        <color rgb="FF000000"/>
        <rFont val="Arial"/>
        <family val="2"/>
        <scheme val="minor"/>
      </rPr>
      <t>Price</t>
    </r>
    <r>
      <rPr>
        <sz val="10"/>
        <color rgb="FF000000"/>
        <rFont val="Arial"/>
        <family val="2"/>
        <scheme val="minor"/>
      </rPr>
      <t xml:space="preserve"> column was formatted as </t>
    </r>
    <r>
      <rPr>
        <b/>
        <sz val="10"/>
        <color rgb="FF000000"/>
        <rFont val="Arial"/>
        <family val="2"/>
        <scheme val="minor"/>
      </rPr>
      <t>Currency</t>
    </r>
    <r>
      <rPr>
        <sz val="10"/>
        <color rgb="FF000000"/>
        <rFont val="Arial"/>
        <family val="2"/>
        <scheme val="minor"/>
      </rPr>
      <t>.</t>
    </r>
  </si>
  <si>
    <r>
      <t xml:space="preserve">The </t>
    </r>
    <r>
      <rPr>
        <b/>
        <sz val="10"/>
        <color rgb="FF000000"/>
        <rFont val="Arial"/>
        <family val="2"/>
        <scheme val="minor"/>
      </rPr>
      <t>Manufacturing Date</t>
    </r>
    <r>
      <rPr>
        <sz val="10"/>
        <color rgb="FF000000"/>
        <rFont val="Arial"/>
        <family val="2"/>
        <scheme val="minor"/>
      </rPr>
      <t xml:space="preserve"> column was formatted in </t>
    </r>
    <r>
      <rPr>
        <b/>
        <sz val="10"/>
        <color rgb="FF000000"/>
        <rFont val="Arial"/>
        <family val="2"/>
        <scheme val="minor"/>
      </rPr>
      <t>DD-MM-YYYY</t>
    </r>
    <r>
      <rPr>
        <sz val="10"/>
        <color rgb="FF000000"/>
        <rFont val="Arial"/>
        <family val="2"/>
        <scheme val="minor"/>
      </rPr>
      <t xml:space="preserve"> format for consistency.</t>
    </r>
  </si>
  <si>
    <t>Observation</t>
  </si>
  <si>
    <r>
      <t xml:space="preserve">The </t>
    </r>
    <r>
      <rPr>
        <b/>
        <sz val="10"/>
        <color rgb="FF000000"/>
        <rFont val="Arial"/>
        <family val="2"/>
        <scheme val="minor"/>
      </rPr>
      <t>Price</t>
    </r>
    <r>
      <rPr>
        <sz val="10"/>
        <color rgb="FF000000"/>
        <rFont val="Arial"/>
        <family val="2"/>
        <scheme val="minor"/>
      </rPr>
      <t xml:space="preserve"> column was changed to </t>
    </r>
    <r>
      <rPr>
        <b/>
        <sz val="10"/>
        <color rgb="FF000000"/>
        <rFont val="Arial"/>
        <family val="2"/>
        <scheme val="minor"/>
      </rPr>
      <t>Currency</t>
    </r>
    <r>
      <rPr>
        <sz val="10"/>
        <color rgb="FF000000"/>
        <rFont val="Arial"/>
        <family val="2"/>
        <scheme val="minor"/>
      </rPr>
      <t xml:space="preserve"> format, and the </t>
    </r>
    <r>
      <rPr>
        <b/>
        <sz val="10"/>
        <color rgb="FF000000"/>
        <rFont val="Arial"/>
        <family val="2"/>
        <scheme val="minor"/>
      </rPr>
      <t>Manufacturing Date</t>
    </r>
    <r>
      <rPr>
        <sz val="10"/>
        <color rgb="FF000000"/>
        <rFont val="Arial"/>
        <family val="2"/>
        <scheme val="minor"/>
      </rPr>
      <t xml:space="preserve"> column was displayed in </t>
    </r>
    <r>
      <rPr>
        <b/>
        <sz val="10"/>
        <color rgb="FF000000"/>
        <rFont val="Arial"/>
        <family val="2"/>
        <scheme val="minor"/>
      </rPr>
      <t>DD-MM-YYYY</t>
    </r>
    <r>
      <rPr>
        <sz val="10"/>
        <color rgb="FF000000"/>
        <rFont val="Arial"/>
        <family val="2"/>
        <scheme val="minor"/>
      </rPr>
      <t xml:space="preserve"> format. This made the data easier to read and more consistent.</t>
    </r>
  </si>
  <si>
    <t>6. Conditional Formatting:</t>
  </si>
  <si>
    <r>
      <t xml:space="preserve">Applied </t>
    </r>
    <r>
      <rPr>
        <b/>
        <sz val="10"/>
        <color rgb="FF000000"/>
        <rFont val="Arial"/>
        <family val="2"/>
        <scheme val="minor"/>
      </rPr>
      <t>Data Bars/Color Scales</t>
    </r>
    <r>
      <rPr>
        <sz val="10"/>
        <color rgb="FF000000"/>
        <rFont val="Arial"/>
        <family val="2"/>
        <scheme val="minor"/>
      </rPr>
      <t xml:space="preserve"> to the </t>
    </r>
    <r>
      <rPr>
        <b/>
        <sz val="10"/>
        <color rgb="FF000000"/>
        <rFont val="Arial"/>
        <family val="2"/>
        <scheme val="minor"/>
      </rPr>
      <t>Price</t>
    </r>
    <r>
      <rPr>
        <sz val="10"/>
        <color rgb="FF000000"/>
        <rFont val="Arial"/>
        <family val="2"/>
        <scheme val="minor"/>
      </rPr>
      <t xml:space="preserve"> column.</t>
    </r>
  </si>
  <si>
    <r>
      <t xml:space="preserve">Highlighted </t>
    </r>
    <r>
      <rPr>
        <b/>
        <sz val="10"/>
        <color rgb="FF000000"/>
        <rFont val="Arial"/>
        <family val="2"/>
        <scheme val="minor"/>
      </rPr>
      <t>Electronics</t>
    </r>
    <r>
      <rPr>
        <sz val="10"/>
        <color rgb="FF000000"/>
        <rFont val="Arial"/>
        <family val="2"/>
        <scheme val="minor"/>
      </rPr>
      <t xml:space="preserve"> in the </t>
    </r>
    <r>
      <rPr>
        <b/>
        <sz val="10"/>
        <color rgb="FF000000"/>
        <rFont val="Arial"/>
        <family val="2"/>
        <scheme val="minor"/>
      </rPr>
      <t>Category</t>
    </r>
    <r>
      <rPr>
        <sz val="10"/>
        <color rgb="FF000000"/>
        <rFont val="Arial"/>
        <family val="2"/>
        <scheme val="minor"/>
      </rPr>
      <t xml:space="preserve"> column using a custom conditional formatting rule.</t>
    </r>
  </si>
  <si>
    <r>
      <t xml:space="preserve">The </t>
    </r>
    <r>
      <rPr>
        <b/>
        <sz val="10"/>
        <color rgb="FF000000"/>
        <rFont val="Arial"/>
        <family val="2"/>
        <scheme val="minor"/>
      </rPr>
      <t>Product ID</t>
    </r>
    <r>
      <rPr>
        <sz val="10"/>
        <color rgb="FF000000"/>
        <rFont val="Arial"/>
        <family val="2"/>
        <scheme val="minor"/>
      </rPr>
      <t xml:space="preserve"> column was split into </t>
    </r>
    <r>
      <rPr>
        <b/>
        <sz val="10"/>
        <color rgb="FF000000"/>
        <rFont val="Arial"/>
        <family val="2"/>
        <scheme val="minor"/>
      </rPr>
      <t>Manufacturing Date</t>
    </r>
    <r>
      <rPr>
        <sz val="10"/>
        <color rgb="FF000000"/>
        <rFont val="Arial"/>
        <family val="2"/>
        <scheme val="minor"/>
      </rPr>
      <t xml:space="preserve"> and </t>
    </r>
    <r>
      <rPr>
        <b/>
        <sz val="10"/>
        <color rgb="FF000000"/>
        <rFont val="Arial"/>
        <family val="2"/>
        <scheme val="minor"/>
      </rPr>
      <t>Country Code</t>
    </r>
    <r>
      <rPr>
        <sz val="10"/>
        <color rgb="FF000000"/>
        <rFont val="Arial"/>
        <family val="2"/>
        <scheme val="minor"/>
      </rPr>
      <t xml:space="preserve">. The </t>
    </r>
    <r>
      <rPr>
        <b/>
        <sz val="10"/>
        <color rgb="FF000000"/>
        <rFont val="Arial"/>
        <family val="2"/>
        <scheme val="minor"/>
      </rPr>
      <t>Brand Name</t>
    </r>
    <r>
      <rPr>
        <sz val="10"/>
        <color rgb="FF000000"/>
        <rFont val="Arial"/>
        <family val="2"/>
        <scheme val="minor"/>
      </rPr>
      <t xml:space="preserve"> and </t>
    </r>
    <r>
      <rPr>
        <b/>
        <sz val="10"/>
        <color rgb="FF000000"/>
        <rFont val="Arial"/>
        <family val="2"/>
        <scheme val="minor"/>
      </rPr>
      <t>Product Name</t>
    </r>
    <r>
      <rPr>
        <sz val="10"/>
        <color rgb="FF000000"/>
        <rFont val="Arial"/>
        <family val="2"/>
        <scheme val="minor"/>
      </rPr>
      <t xml:space="preserve"> columns were merged into a new </t>
    </r>
    <r>
      <rPr>
        <b/>
        <sz val="10"/>
        <color rgb="FF000000"/>
        <rFont val="Arial"/>
        <family val="2"/>
        <scheme val="minor"/>
      </rPr>
      <t>Product Brand</t>
    </r>
    <r>
      <rPr>
        <sz val="10"/>
        <color rgb="FF000000"/>
        <rFont val="Arial"/>
        <family val="2"/>
        <scheme val="minor"/>
      </rPr>
      <t xml:space="preserve"> column.</t>
    </r>
  </si>
  <si>
    <t>Splitting and merging the data made the dataset more organized, easier to understand, and simpler to analyze.</t>
  </si>
  <si>
    <t>3. Removing Duplicates</t>
  </si>
  <si>
    <t>SUMMARY&amp;OBSERVATIONS</t>
  </si>
  <si>
    <t>The Electronics category was highlighted using a custom rule, making it easier to identify those products quickly.</t>
  </si>
  <si>
    <r>
      <t xml:space="preserve">Conditional formatting was applied to the </t>
    </r>
    <r>
      <rPr>
        <b/>
        <sz val="10"/>
        <color rgb="FF000000"/>
        <rFont val="Arial"/>
        <family val="2"/>
        <scheme val="minor"/>
      </rPr>
      <t>Price</t>
    </r>
    <r>
      <rPr>
        <sz val="10"/>
        <color rgb="FF000000"/>
        <rFont val="Arial"/>
        <family val="2"/>
        <scheme val="minor"/>
      </rPr>
      <t xml:space="preserve"> column to show price differences visually. </t>
    </r>
  </si>
  <si>
    <t>Country Code</t>
  </si>
  <si>
    <t>Manufacturing Date</t>
  </si>
  <si>
    <t>Missing value in Price</t>
  </si>
  <si>
    <t>**Replace missing prices with the average price of products in the same category.</t>
  </si>
  <si>
    <t>Missing value in Category</t>
  </si>
  <si>
    <t>**Use the median price if the data contains extreme values (outliers).</t>
  </si>
  <si>
    <t>it helps maintain the overall pattern of the data."</t>
  </si>
  <si>
    <t>"Missing category values can be filled with the most common category because</t>
  </si>
  <si>
    <t>No missing Category found.</t>
  </si>
  <si>
    <t>Most frequent category means that MODE The value appear most often in the Data 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</si>
</sst>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-F800]dddd\,\ mmmm\ dd\,\ yyyy"/>
  </numFmts>
  <fonts count="15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 Unicode MS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3.5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2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i/>
      <sz val="12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0"/>
      <color rgb="FF000000"/>
      <name val="Arial"/>
      <scheme val="minor"/>
    </font>
    <font>
      <b/>
      <sz val="13.5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9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4" borderId="0" xfId="0" applyFont="1" applyFill="1"/>
    <xf numFmtId="0" fontId="2" fillId="0" borderId="1" xfId="0" applyFont="1" applyBorder="1"/>
    <xf numFmtId="0" fontId="2" fillId="3" borderId="1" xfId="0" applyFont="1" applyFill="1" applyBorder="1"/>
    <xf numFmtId="0" fontId="2" fillId="0" borderId="2" xfId="0" applyFont="1" applyBorder="1"/>
    <xf numFmtId="0" fontId="2" fillId="3" borderId="2" xfId="0" applyFont="1" applyFill="1" applyBorder="1"/>
    <xf numFmtId="0" fontId="2" fillId="0" borderId="3" xfId="0" applyFont="1" applyBorder="1"/>
    <xf numFmtId="0" fontId="2" fillId="3" borderId="3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3" borderId="7" xfId="0" applyFont="1" applyFill="1" applyBorder="1"/>
    <xf numFmtId="0" fontId="2" fillId="3" borderId="8" xfId="0" applyFont="1" applyFill="1" applyBorder="1"/>
    <xf numFmtId="0" fontId="2" fillId="3" borderId="9" xfId="0" applyFont="1" applyFill="1" applyBorder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4" fillId="0" borderId="0" xfId="0" applyFont="1"/>
    <xf numFmtId="0" fontId="5" fillId="0" borderId="10" xfId="0" applyFont="1" applyBorder="1"/>
    <xf numFmtId="0" fontId="8" fillId="0" borderId="0" xfId="0" applyFont="1"/>
    <xf numFmtId="0" fontId="8" fillId="0" borderId="11" xfId="0" applyFont="1" applyBorder="1"/>
    <xf numFmtId="0" fontId="8" fillId="0" borderId="12" xfId="0" applyFont="1" applyBorder="1"/>
    <xf numFmtId="0" fontId="5" fillId="0" borderId="11" xfId="0" applyFont="1" applyBorder="1"/>
    <xf numFmtId="0" fontId="5" fillId="0" borderId="12" xfId="0" applyFont="1" applyBorder="1"/>
    <xf numFmtId="0" fontId="11" fillId="0" borderId="0" xfId="0" applyFont="1"/>
    <xf numFmtId="0" fontId="7" fillId="2" borderId="5" xfId="0" applyFont="1" applyFill="1" applyBorder="1" applyAlignment="1">
      <alignment horizontal="center"/>
    </xf>
    <xf numFmtId="0" fontId="7" fillId="0" borderId="1" xfId="0" applyFont="1" applyBorder="1"/>
    <xf numFmtId="0" fontId="7" fillId="3" borderId="1" xfId="0" applyFont="1" applyFill="1" applyBorder="1"/>
    <xf numFmtId="0" fontId="7" fillId="3" borderId="8" xfId="0" applyFont="1" applyFill="1" applyBorder="1"/>
    <xf numFmtId="0" fontId="7" fillId="2" borderId="4" xfId="0" applyFont="1" applyFill="1" applyBorder="1" applyAlignment="1">
      <alignment horizontal="center"/>
    </xf>
    <xf numFmtId="16" fontId="2" fillId="0" borderId="2" xfId="0" applyNumberFormat="1" applyFont="1" applyBorder="1"/>
    <xf numFmtId="16" fontId="2" fillId="3" borderId="2" xfId="0" applyNumberFormat="1" applyFont="1" applyFill="1" applyBorder="1"/>
    <xf numFmtId="164" fontId="1" fillId="2" borderId="5" xfId="0" applyNumberFormat="1" applyFont="1" applyFill="1" applyBorder="1" applyAlignment="1">
      <alignment horizontal="center"/>
    </xf>
    <xf numFmtId="164" fontId="2" fillId="0" borderId="1" xfId="0" applyNumberFormat="1" applyFont="1" applyBorder="1"/>
    <xf numFmtId="164" fontId="2" fillId="3" borderId="1" xfId="0" applyNumberFormat="1" applyFont="1" applyFill="1" applyBorder="1"/>
    <xf numFmtId="164" fontId="0" fillId="0" borderId="0" xfId="0" applyNumberFormat="1"/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4" fillId="0" borderId="0" xfId="0" applyFont="1" applyAlignment="1">
      <alignment vertical="center"/>
    </xf>
    <xf numFmtId="0" fontId="0" fillId="0" borderId="13" xfId="0" applyBorder="1"/>
    <xf numFmtId="0" fontId="6" fillId="0" borderId="14" xfId="0" applyFont="1" applyBorder="1" applyAlignment="1">
      <alignment vertic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14" xfId="0" applyBorder="1" applyAlignment="1">
      <alignment horizontal="left" vertical="center" indent="1"/>
    </xf>
    <xf numFmtId="0" fontId="5" fillId="0" borderId="13" xfId="0" applyFont="1" applyBorder="1"/>
    <xf numFmtId="0" fontId="13" fillId="0" borderId="16" xfId="0" applyFont="1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14" fillId="0" borderId="16" xfId="0" applyFont="1" applyBorder="1" applyAlignment="1">
      <alignment vertical="center"/>
    </xf>
    <xf numFmtId="0" fontId="0" fillId="0" borderId="16" xfId="0" applyBorder="1" applyAlignment="1">
      <alignment horizontal="left" vertical="center" indent="1"/>
    </xf>
    <xf numFmtId="0" fontId="13" fillId="0" borderId="16" xfId="0" applyFont="1" applyBorder="1" applyAlignment="1">
      <alignment horizontal="left" vertical="center" indent="1"/>
    </xf>
    <xf numFmtId="0" fontId="13" fillId="0" borderId="0" xfId="0" applyFont="1"/>
    <xf numFmtId="0" fontId="8" fillId="0" borderId="13" xfId="0" applyFont="1" applyBorder="1"/>
    <xf numFmtId="0" fontId="8" fillId="0" borderId="16" xfId="0" applyFont="1" applyBorder="1"/>
    <xf numFmtId="0" fontId="5" fillId="0" borderId="13" xfId="0" applyFont="1" applyBorder="1" applyAlignment="1">
      <alignment horizontal="left" vertical="center" indent="1"/>
    </xf>
    <xf numFmtId="0" fontId="0" fillId="0" borderId="16" xfId="0" applyBorder="1" applyAlignment="1">
      <alignment vertical="center"/>
    </xf>
    <xf numFmtId="0" fontId="3" fillId="0" borderId="16" xfId="0" applyFont="1" applyBorder="1" applyAlignment="1">
      <alignment vertical="center"/>
    </xf>
    <xf numFmtId="0" fontId="8" fillId="0" borderId="16" xfId="0" applyFont="1" applyBorder="1" applyAlignment="1">
      <alignment horizontal="left" vertical="center" indent="1"/>
    </xf>
    <xf numFmtId="0" fontId="8" fillId="0" borderId="16" xfId="0" applyFont="1" applyBorder="1" applyAlignment="1">
      <alignment horizontal="left" vertical="center" indent="2"/>
    </xf>
    <xf numFmtId="0" fontId="4" fillId="0" borderId="18" xfId="0" applyFont="1" applyBorder="1"/>
    <xf numFmtId="0" fontId="5" fillId="0" borderId="19" xfId="0" applyFont="1" applyBorder="1"/>
    <xf numFmtId="0" fontId="8" fillId="0" borderId="13" xfId="0" applyFont="1" applyBorder="1" applyAlignment="1">
      <alignment horizontal="left" vertical="center" indent="1"/>
    </xf>
    <xf numFmtId="0" fontId="8" fillId="0" borderId="14" xfId="0" applyFont="1" applyBorder="1"/>
    <xf numFmtId="0" fontId="8" fillId="0" borderId="16" xfId="0" applyFont="1" applyBorder="1" applyAlignment="1">
      <alignment vertical="center"/>
    </xf>
    <xf numFmtId="0" fontId="10" fillId="0" borderId="16" xfId="0" applyFont="1" applyBorder="1" applyAlignment="1">
      <alignment horizontal="left" vertical="center" indent="1"/>
    </xf>
    <xf numFmtId="0" fontId="8" fillId="0" borderId="16" xfId="0" applyFont="1" applyBorder="1" applyAlignment="1">
      <alignment horizontal="left" vertical="center" indent="3"/>
    </xf>
    <xf numFmtId="0" fontId="10" fillId="0" borderId="16" xfId="0" applyFont="1" applyBorder="1" applyAlignment="1">
      <alignment horizontal="left" vertical="center" indent="3"/>
    </xf>
    <xf numFmtId="0" fontId="9" fillId="0" borderId="16" xfId="0" applyFont="1" applyBorder="1" applyAlignment="1">
      <alignment vertical="center"/>
    </xf>
    <xf numFmtId="0" fontId="9" fillId="0" borderId="16" xfId="0" applyFont="1" applyBorder="1" applyAlignment="1">
      <alignment horizontal="left" vertical="center" indent="1"/>
    </xf>
    <xf numFmtId="0" fontId="8" fillId="0" borderId="19" xfId="0" applyFont="1" applyBorder="1"/>
    <xf numFmtId="0" fontId="11" fillId="5" borderId="10" xfId="0" applyFont="1" applyFill="1" applyBorder="1"/>
    <xf numFmtId="0" fontId="0" fillId="5" borderId="11" xfId="0" applyFill="1" applyBorder="1"/>
    <xf numFmtId="0" fontId="0" fillId="5" borderId="12" xfId="0" applyFill="1" applyBorder="1"/>
    <xf numFmtId="0" fontId="8" fillId="0" borderId="18" xfId="0" applyFont="1" applyBorder="1"/>
    <xf numFmtId="165" fontId="7" fillId="2" borderId="4" xfId="0" applyNumberFormat="1" applyFont="1" applyFill="1" applyBorder="1" applyAlignment="1">
      <alignment horizontal="left"/>
    </xf>
    <xf numFmtId="165" fontId="2" fillId="0" borderId="2" xfId="0" applyNumberFormat="1" applyFont="1" applyBorder="1" applyAlignment="1">
      <alignment horizontal="left"/>
    </xf>
    <xf numFmtId="165" fontId="2" fillId="3" borderId="2" xfId="0" applyNumberFormat="1" applyFont="1" applyFill="1" applyBorder="1" applyAlignment="1">
      <alignment horizontal="left"/>
    </xf>
    <xf numFmtId="165" fontId="0" fillId="0" borderId="0" xfId="0" applyNumberFormat="1" applyAlignment="1">
      <alignment horizontal="left"/>
    </xf>
    <xf numFmtId="0" fontId="8" fillId="0" borderId="0" xfId="0" applyFont="1" applyAlignment="1">
      <alignment horizontal="left" vertical="center" indent="1"/>
    </xf>
    <xf numFmtId="0" fontId="5" fillId="0" borderId="0" xfId="0" applyFont="1"/>
    <xf numFmtId="0" fontId="8" fillId="0" borderId="17" xfId="0" applyFont="1" applyBorder="1"/>
    <xf numFmtId="0" fontId="8" fillId="0" borderId="0" xfId="0" applyFont="1" applyAlignment="1">
      <alignment horizontal="left" vertical="center" indent="2"/>
    </xf>
    <xf numFmtId="0" fontId="0" fillId="0" borderId="21" xfId="0" applyBorder="1"/>
  </cellXfs>
  <cellStyles count="1">
    <cellStyle name="Normal" xfId="0" builtinId="0"/>
  </cellStyles>
  <dxfs count="138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₹&quot;\ #,##0.00"/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[$-F800]dddd\,\ mmmm\ dd\,\ yyyy"/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₹&quot;\ #,##0.00"/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[$-F800]dddd\,\ mmmm\ dd\,\ yyyy"/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₹&quot;\ #,##0.00"/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[$-F800]dddd\,\ mmmm\ dd\,\ yyyy"/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4BBC7FE-937E-4FB3-BEC4-953CA2B91627}" name="Table13" displayName="Table13" ref="A1:F35" totalsRowShown="0" headerRowDxfId="126" dataDxfId="124" headerRowBorderDxfId="125" tableBorderDxfId="123" totalsRowBorderDxfId="122">
  <autoFilter ref="A1:F35" xr:uid="{64BBC7FE-937E-4FB3-BEC4-953CA2B91627}"/>
  <tableColumns count="6">
    <tableColumn id="1" xr3:uid="{02BEDEB6-C4AD-461A-AA81-8677EE45BFB4}" name="Product ID" dataDxfId="121"/>
    <tableColumn id="2" xr3:uid="{A11B9D2E-B767-4CB9-9523-24DF28696668}" name="Product Name" dataDxfId="120"/>
    <tableColumn id="3" xr3:uid="{F2F210EA-7D73-483A-8524-FA837A324CAB}" name="Brand Name" dataDxfId="119"/>
    <tableColumn id="4" xr3:uid="{25BCDF4E-ABFB-43FB-B554-C22C93584A6E}" name="Price ($)" dataDxfId="118"/>
    <tableColumn id="5" xr3:uid="{35263178-4B88-4A10-8D24-6363D0F2EB3B}" name="Quantity" dataDxfId="117"/>
    <tableColumn id="6" xr3:uid="{5F10C65F-0E30-41E3-B0E8-93BE5368A11B}" name="Category" dataDxfId="1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B6220A7-9D5C-4CB8-A8DB-FE1FD8997B0F}" name="Table12" displayName="Table12" ref="A1:F35" totalsRowShown="0" headerRowDxfId="137" dataDxfId="135" headerRowBorderDxfId="136" tableBorderDxfId="134" totalsRowBorderDxfId="133">
  <autoFilter ref="A1:F35" xr:uid="{0B6220A7-9D5C-4CB8-A8DB-FE1FD8997B0F}"/>
  <tableColumns count="6">
    <tableColumn id="1" xr3:uid="{78C790B8-10A8-41DD-B2DA-364ADC7CF315}" name="Product ID" dataDxfId="132"/>
    <tableColumn id="2" xr3:uid="{3B4E6C2A-238E-4B6D-A1EB-8401F9929B5E}" name="Product Name" dataDxfId="131"/>
    <tableColumn id="3" xr3:uid="{72F0B1D3-C3BC-4E68-9A13-D3AEDE421107}" name="Brand Name" dataDxfId="130"/>
    <tableColumn id="4" xr3:uid="{A66268D6-EECF-4F98-AB8B-62F39EBF9FBB}" name="Price ($)" dataDxfId="129"/>
    <tableColumn id="5" xr3:uid="{B922EA04-8E4F-4953-AE6B-1F28D15F47CE}" name="Quantity" dataDxfId="128"/>
    <tableColumn id="6" xr3:uid="{2D6AD16A-EFDE-4457-89A9-0EA2548E13AA}" name="Category" dataDxfId="1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19D432-327E-46DD-8682-61073836BAD0}" name="Table4" displayName="Table4" ref="A1:F35" totalsRowShown="0" headerRowDxfId="115" dataDxfId="113" headerRowBorderDxfId="114" tableBorderDxfId="112" totalsRowBorderDxfId="111">
  <autoFilter ref="A1:F35" xr:uid="{4719D432-327E-46DD-8682-61073836BAD0}"/>
  <tableColumns count="6">
    <tableColumn id="1" xr3:uid="{E21ED206-2B97-4615-97E0-0D5AF60B6BF8}" name="Product ID" dataDxfId="110" totalsRowDxfId="109"/>
    <tableColumn id="2" xr3:uid="{9099D5FC-1A59-4425-8E81-2233A43B725C}" name="Product Name" dataDxfId="108" totalsRowDxfId="107"/>
    <tableColumn id="3" xr3:uid="{2B4E3C8C-395E-445B-9120-258E9BC2665B}" name="Brand Name" dataDxfId="106" totalsRowDxfId="105"/>
    <tableColumn id="4" xr3:uid="{A3AA80F8-BD03-4B16-BD77-0E451B080B0B}" name="Price ($)" dataDxfId="104" totalsRowDxfId="103"/>
    <tableColumn id="5" xr3:uid="{5B885018-0329-4133-A268-3A48962E21FA}" name="Quantity" dataDxfId="102" totalsRowDxfId="101"/>
    <tableColumn id="6" xr3:uid="{B28BDCF7-F62A-45B4-970E-54235B0AAE7B}" name="Category" dataDxfId="100" totalsRowDxfId="9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C04A6B1-CD23-4412-B1AA-2AEF2149C2BE}" name="Table410" displayName="Table410" ref="A1:F33" totalsRowShown="0" headerRowDxfId="98" dataDxfId="96" headerRowBorderDxfId="97" tableBorderDxfId="95" totalsRowBorderDxfId="94">
  <autoFilter ref="A1:F33" xr:uid="{DC04A6B1-CD23-4412-B1AA-2AEF2149C2BE}"/>
  <tableColumns count="6">
    <tableColumn id="1" xr3:uid="{9AF5EC6D-6D3C-40C3-88A3-C08A6D0DDBFD}" name="Product ID" dataDxfId="93" totalsRowDxfId="92"/>
    <tableColumn id="2" xr3:uid="{337CE193-EBEC-4A34-83AA-BCDF0887BC3A}" name="Product Name" dataDxfId="91" totalsRowDxfId="90"/>
    <tableColumn id="3" xr3:uid="{ED7476E8-D238-4BDB-9AE2-AFF2C88F0094}" name="Brand Name" dataDxfId="89" totalsRowDxfId="88"/>
    <tableColumn id="4" xr3:uid="{C49C07B1-CEAF-4526-BADC-65631AE81A94}" name="Price ($)" dataDxfId="87" totalsRowDxfId="86"/>
    <tableColumn id="5" xr3:uid="{82604648-522F-4D0D-9B22-2F74F00B47F4}" name="Quantity" dataDxfId="85" totalsRowDxfId="84"/>
    <tableColumn id="6" xr3:uid="{183C69F8-20C6-4D55-9D99-229F1CE43191}" name="Category" dataDxfId="83" totalsRowDxfId="8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E79881E-BBBE-4F38-A637-D093F14DB525}" name="Table4107" displayName="Table4107" ref="A1:H33" totalsRowShown="0" headerRowDxfId="81" dataDxfId="79" headerRowBorderDxfId="80" tableBorderDxfId="78" totalsRowBorderDxfId="77">
  <autoFilter ref="A1:H33" xr:uid="{AE79881E-BBBE-4F38-A637-D093F14DB525}"/>
  <tableColumns count="8">
    <tableColumn id="1" xr3:uid="{ACD2EB52-3656-4ED0-B4CF-77E6FC6E752E}" name="Manufacturing Date" dataDxfId="76"/>
    <tableColumn id="8" xr3:uid="{508310A6-6600-485E-8EED-114A0243A187}" name="Country Code" dataDxfId="75" totalsRowDxfId="74"/>
    <tableColumn id="2" xr3:uid="{687C3080-A4C7-4423-8693-630FE95F33DF}" name="Product Name" dataDxfId="73" totalsRowDxfId="72"/>
    <tableColumn id="3" xr3:uid="{800C7889-69C9-4499-9610-30670F92744B}" name="Brand Name" dataDxfId="71" totalsRowDxfId="70"/>
    <tableColumn id="9" xr3:uid="{B5C10264-BF6B-4B72-A9C5-BB005ECAFDB0}" name="Product Brand" dataDxfId="69" totalsRowDxfId="68">
      <calculatedColumnFormula>CONCATENATE(Table4107[[#This Row],[Product Name]]," ",Table4107[[#This Row],[Brand Name]])</calculatedColumnFormula>
    </tableColumn>
    <tableColumn id="4" xr3:uid="{374BA56D-52C4-47CC-AF59-43E12BFA7A6F}" name="Price ($)" dataDxfId="67" totalsRowDxfId="66"/>
    <tableColumn id="5" xr3:uid="{33CE17BB-FB24-4334-A97B-BD33909FE8C9}" name="Quantity" dataDxfId="65" totalsRowDxfId="64"/>
    <tableColumn id="6" xr3:uid="{3A7FEE41-83AE-4676-A9FD-8462EC93FF10}" name="Category" dataDxfId="63" totalsRowDxfId="6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F2FF4AA-DD88-4DA4-B13F-07E82740F6AB}" name="Table41079" displayName="Table41079" ref="A1:H33" totalsRowShown="0" headerRowDxfId="61" dataDxfId="59" headerRowBorderDxfId="60" tableBorderDxfId="58" totalsRowBorderDxfId="57">
  <autoFilter ref="A1:H33" xr:uid="{1F2FF4AA-DD88-4DA4-B13F-07E82740F6AB}"/>
  <tableColumns count="8">
    <tableColumn id="1" xr3:uid="{EB54CB86-E65F-423C-9D6A-D456C7590177}" name="Manufacturing Date" dataDxfId="56"/>
    <tableColumn id="8" xr3:uid="{412EB6C1-89FB-4055-AE48-485186EC9FB4}" name="Country Code" dataDxfId="55" totalsRowDxfId="54"/>
    <tableColumn id="2" xr3:uid="{2501DEFE-F216-471E-B138-1584866A002E}" name="Product Name" dataDxfId="53" totalsRowDxfId="52"/>
    <tableColumn id="3" xr3:uid="{C7EEAC08-D8A2-4FDD-A02E-5381627BDF83}" name="Brand Name" dataDxfId="51" totalsRowDxfId="50"/>
    <tableColumn id="9" xr3:uid="{FE30ACE3-B9D5-452C-8B6D-7B592BA48BBA}" name="Product Brand" dataDxfId="49" totalsRowDxfId="48">
      <calculatedColumnFormula>CONCATENATE(Table41079[[#This Row],[Product Name]]," ",Table41079[[#This Row],[Brand Name]])</calculatedColumnFormula>
    </tableColumn>
    <tableColumn id="4" xr3:uid="{A2EA8FD7-319A-4157-868A-65220EEAFF35}" name="Price ($)" dataDxfId="47" totalsRowDxfId="46"/>
    <tableColumn id="5" xr3:uid="{D81BB8E6-C21C-4204-A7EF-2E493590B900}" name="Quantity" dataDxfId="45" totalsRowDxfId="44"/>
    <tableColumn id="6" xr3:uid="{DA5D5C73-A6E8-413E-A814-29296E9B9D69}" name="Category" dataDxfId="43" totalsRowDxfId="4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856820F-2B65-4077-8AA2-53C68F1FB176}" name="Table4107912" displayName="Table4107912" ref="A1:H33" totalsRowShown="0" headerRowDxfId="41" dataDxfId="39" headerRowBorderDxfId="40" tableBorderDxfId="38" totalsRowBorderDxfId="37">
  <autoFilter ref="A1:H33" xr:uid="{B856820F-2B65-4077-8AA2-53C68F1FB176}"/>
  <tableColumns count="8">
    <tableColumn id="1" xr3:uid="{700CACB6-17FE-4ABD-ACF3-CE6D64B3E51F}" name="Manufacturing Date" dataDxfId="36"/>
    <tableColumn id="8" xr3:uid="{0334C6B5-D4D4-4AC4-834F-7BB8ED9E93B9}" name="Country Code" dataDxfId="35" totalsRowDxfId="34"/>
    <tableColumn id="2" xr3:uid="{BD2F02ED-FA26-4EF8-A207-CAD9FECE0A08}" name="Product Name" dataDxfId="33" totalsRowDxfId="32"/>
    <tableColumn id="3" xr3:uid="{A5CF855D-C29F-46B2-B978-E12E31897DF6}" name="Brand Name" dataDxfId="31" totalsRowDxfId="30"/>
    <tableColumn id="9" xr3:uid="{66C0A7F9-CCAB-4F45-8EEF-5BC8AE370401}" name="Product Brand" dataDxfId="29" totalsRowDxfId="28">
      <calculatedColumnFormula>CONCATENATE(Table4107912[[#This Row],[Product Name]]," ",Table4107912[[#This Row],[Brand Name]])</calculatedColumnFormula>
    </tableColumn>
    <tableColumn id="4" xr3:uid="{CEB051A6-DFC0-40F0-8493-45B5EA1083D3}" name="Price ($)" dataDxfId="27" totalsRowDxfId="26"/>
    <tableColumn id="5" xr3:uid="{1B71228D-7134-4619-8545-5269C20E9EE7}" name="Quantity" dataDxfId="25" totalsRowDxfId="24"/>
    <tableColumn id="6" xr3:uid="{209CC919-BC2A-4F68-9DE2-E7BD23A0E32E}" name="Category" dataDxfId="23" totalsRowDxfId="2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8ABBDE3-588C-46A7-9450-E429821AA388}" name="Table410791216" displayName="Table410791216" ref="A1:H33" totalsRowShown="0" headerRowDxfId="21" dataDxfId="19" headerRowBorderDxfId="20" tableBorderDxfId="18" totalsRowBorderDxfId="17">
  <autoFilter ref="A1:H33" xr:uid="{88ABBDE3-588C-46A7-9450-E429821AA388}"/>
  <tableColumns count="8">
    <tableColumn id="1" xr3:uid="{CD446B1B-387A-4AC2-B466-E81DA6A76574}" name="Manufacturing Date" dataDxfId="16"/>
    <tableColumn id="8" xr3:uid="{8B7839AB-3D42-44CD-8CB2-7D164742B35D}" name="Country Code" dataDxfId="15" totalsRowDxfId="14"/>
    <tableColumn id="2" xr3:uid="{BA5FF5FF-C82E-42EF-91FC-FD20F0C2DFB8}" name="Product Name" dataDxfId="13" totalsRowDxfId="12"/>
    <tableColumn id="3" xr3:uid="{902339DF-04EB-4B5E-80E9-4FFF79461ADC}" name="Brand Name" dataDxfId="11" totalsRowDxfId="10"/>
    <tableColumn id="9" xr3:uid="{21EE84A0-CBC2-411B-88FE-CEF7DBDF584A}" name="Product Brand" dataDxfId="9" totalsRowDxfId="8">
      <calculatedColumnFormula>CONCATENATE(Table410791216[[#This Row],[Product Name]]," ",Table410791216[[#This Row],[Brand Name]])</calculatedColumnFormula>
    </tableColumn>
    <tableColumn id="4" xr3:uid="{F06B4C60-9971-462B-AE79-51190E61B17D}" name="Price ($)" dataDxfId="7" totalsRowDxfId="6"/>
    <tableColumn id="5" xr3:uid="{C3D1EEC7-6CD5-4AE7-8161-FAF72452605E}" name="Quantity" dataDxfId="5" totalsRowDxfId="4"/>
    <tableColumn id="6" xr3:uid="{F492DF87-5D68-4A24-A3EE-526F5D54003B}" name="Category" dataDxfId="3" totalsRow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opLeftCell="A21" workbookViewId="0">
      <selection activeCell="D33" sqref="D33"/>
    </sheetView>
  </sheetViews>
  <sheetFormatPr defaultColWidth="12.5703125" defaultRowHeight="15" customHeight="1"/>
  <cols>
    <col min="2" max="2" width="16" customWidth="1"/>
    <col min="3" max="3" width="14.42578125" customWidth="1"/>
  </cols>
  <sheetData>
    <row r="1" spans="1:7" ht="15.75" customHeight="1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5</v>
      </c>
      <c r="G1" s="1"/>
    </row>
    <row r="2" spans="1:7" ht="15.75" customHeight="1">
      <c r="A2" s="6" t="s">
        <v>6</v>
      </c>
      <c r="B2" s="4" t="s">
        <v>7</v>
      </c>
      <c r="C2" s="4" t="s">
        <v>8</v>
      </c>
      <c r="D2" s="4">
        <v>1000</v>
      </c>
      <c r="E2" s="4">
        <v>30</v>
      </c>
      <c r="F2" s="8" t="s">
        <v>9</v>
      </c>
      <c r="G2" s="2"/>
    </row>
    <row r="3" spans="1:7" ht="15.75" customHeight="1">
      <c r="A3" s="7" t="s">
        <v>10</v>
      </c>
      <c r="B3" s="5" t="s">
        <v>11</v>
      </c>
      <c r="C3" s="5" t="s">
        <v>12</v>
      </c>
      <c r="D3" s="5">
        <v>80</v>
      </c>
      <c r="E3" s="5">
        <v>15</v>
      </c>
      <c r="F3" s="9" t="s">
        <v>13</v>
      </c>
      <c r="G3" s="2"/>
    </row>
    <row r="4" spans="1:7" ht="15.75" customHeight="1">
      <c r="A4" s="6" t="s">
        <v>14</v>
      </c>
      <c r="B4" s="4" t="s">
        <v>15</v>
      </c>
      <c r="C4" s="4" t="s">
        <v>16</v>
      </c>
      <c r="D4" s="4">
        <v>130</v>
      </c>
      <c r="E4" s="4">
        <v>40</v>
      </c>
      <c r="F4" s="8" t="s">
        <v>17</v>
      </c>
      <c r="G4" s="2"/>
    </row>
    <row r="5" spans="1:7" ht="15.75" customHeight="1">
      <c r="A5" s="7" t="s">
        <v>18</v>
      </c>
      <c r="B5" s="5" t="s">
        <v>19</v>
      </c>
      <c r="C5" s="5" t="s">
        <v>20</v>
      </c>
      <c r="D5" s="5">
        <v>900</v>
      </c>
      <c r="E5" s="5">
        <v>25</v>
      </c>
      <c r="F5" s="9" t="s">
        <v>9</v>
      </c>
      <c r="G5" s="2"/>
    </row>
    <row r="6" spans="1:7" ht="15.75" customHeight="1">
      <c r="A6" s="6" t="s">
        <v>21</v>
      </c>
      <c r="B6" s="4" t="s">
        <v>22</v>
      </c>
      <c r="C6" s="4" t="s">
        <v>23</v>
      </c>
      <c r="D6" s="4">
        <v>70</v>
      </c>
      <c r="E6" s="4">
        <v>20</v>
      </c>
      <c r="F6" s="8" t="s">
        <v>24</v>
      </c>
      <c r="G6" s="2"/>
    </row>
    <row r="7" spans="1:7" ht="15.75" customHeight="1">
      <c r="A7" s="7" t="s">
        <v>25</v>
      </c>
      <c r="B7" s="5" t="s">
        <v>26</v>
      </c>
      <c r="C7" s="5" t="s">
        <v>27</v>
      </c>
      <c r="D7" s="5">
        <v>200</v>
      </c>
      <c r="E7" s="5">
        <v>45</v>
      </c>
      <c r="F7" s="9" t="s">
        <v>9</v>
      </c>
      <c r="G7" s="2"/>
    </row>
    <row r="8" spans="1:7" ht="15.75" customHeight="1">
      <c r="A8" s="6" t="s">
        <v>28</v>
      </c>
      <c r="B8" s="4" t="s">
        <v>29</v>
      </c>
      <c r="C8" s="4" t="s">
        <v>30</v>
      </c>
      <c r="D8" s="4">
        <v>30</v>
      </c>
      <c r="E8" s="4">
        <v>5</v>
      </c>
      <c r="F8" s="8" t="s">
        <v>13</v>
      </c>
      <c r="G8" s="2"/>
    </row>
    <row r="9" spans="1:7" ht="15.75" customHeight="1">
      <c r="A9" s="7" t="s">
        <v>31</v>
      </c>
      <c r="B9" s="5" t="s">
        <v>32</v>
      </c>
      <c r="C9" s="5" t="s">
        <v>33</v>
      </c>
      <c r="D9" s="5">
        <v>90</v>
      </c>
      <c r="E9" s="5">
        <v>35</v>
      </c>
      <c r="F9" s="9" t="s">
        <v>17</v>
      </c>
      <c r="G9" s="2"/>
    </row>
    <row r="10" spans="1:7" ht="15.75" customHeight="1">
      <c r="A10" s="6" t="s">
        <v>34</v>
      </c>
      <c r="B10" s="4" t="s">
        <v>35</v>
      </c>
      <c r="C10" s="4" t="s">
        <v>36</v>
      </c>
      <c r="D10" s="4">
        <v>500</v>
      </c>
      <c r="E10" s="4">
        <v>50</v>
      </c>
      <c r="F10" s="8" t="s">
        <v>9</v>
      </c>
      <c r="G10" s="2"/>
    </row>
    <row r="11" spans="1:7" ht="15.75" customHeight="1">
      <c r="A11" s="7" t="s">
        <v>37</v>
      </c>
      <c r="B11" s="5" t="s">
        <v>38</v>
      </c>
      <c r="C11" s="5" t="s">
        <v>39</v>
      </c>
      <c r="D11" s="5">
        <v>130</v>
      </c>
      <c r="E11" s="5">
        <v>10</v>
      </c>
      <c r="F11" s="9" t="s">
        <v>24</v>
      </c>
      <c r="G11" s="2"/>
    </row>
    <row r="12" spans="1:7" ht="15.75" customHeight="1">
      <c r="A12" s="6" t="s">
        <v>40</v>
      </c>
      <c r="B12" s="4" t="s">
        <v>7</v>
      </c>
      <c r="C12" s="4" t="s">
        <v>41</v>
      </c>
      <c r="D12" s="4">
        <v>950</v>
      </c>
      <c r="E12" s="4">
        <v>25</v>
      </c>
      <c r="F12" s="8" t="s">
        <v>9</v>
      </c>
      <c r="G12" s="2"/>
    </row>
    <row r="13" spans="1:7" ht="15.75" customHeight="1">
      <c r="A13" s="7" t="s">
        <v>42</v>
      </c>
      <c r="B13" s="5" t="s">
        <v>11</v>
      </c>
      <c r="C13" s="5" t="s">
        <v>30</v>
      </c>
      <c r="D13" s="5">
        <v>90</v>
      </c>
      <c r="E13" s="5">
        <v>40</v>
      </c>
      <c r="F13" s="9" t="s">
        <v>13</v>
      </c>
      <c r="G13" s="2"/>
    </row>
    <row r="14" spans="1:7" ht="15.75" customHeight="1">
      <c r="A14" s="6" t="s">
        <v>43</v>
      </c>
      <c r="B14" s="4" t="s">
        <v>15</v>
      </c>
      <c r="C14" s="4" t="s">
        <v>44</v>
      </c>
      <c r="D14" s="4">
        <v>120</v>
      </c>
      <c r="E14" s="4">
        <v>35</v>
      </c>
      <c r="F14" s="8" t="s">
        <v>17</v>
      </c>
      <c r="G14" s="2"/>
    </row>
    <row r="15" spans="1:7" ht="15.75" customHeight="1">
      <c r="A15" s="7" t="s">
        <v>45</v>
      </c>
      <c r="B15" s="5" t="s">
        <v>46</v>
      </c>
      <c r="C15" s="5" t="s">
        <v>47</v>
      </c>
      <c r="D15" s="5">
        <v>150</v>
      </c>
      <c r="E15" s="5">
        <v>15</v>
      </c>
      <c r="F15" s="9" t="s">
        <v>9</v>
      </c>
      <c r="G15" s="2"/>
    </row>
    <row r="16" spans="1:7" ht="15.75" customHeight="1">
      <c r="A16" s="6" t="s">
        <v>48</v>
      </c>
      <c r="B16" s="4" t="s">
        <v>26</v>
      </c>
      <c r="C16" s="4" t="s">
        <v>49</v>
      </c>
      <c r="D16" s="4">
        <v>250</v>
      </c>
      <c r="E16" s="4">
        <v>20</v>
      </c>
      <c r="F16" s="8" t="s">
        <v>9</v>
      </c>
      <c r="G16" s="2"/>
    </row>
    <row r="17" spans="1:7" ht="15.75" customHeight="1">
      <c r="A17" s="7" t="s">
        <v>50</v>
      </c>
      <c r="B17" s="5" t="s">
        <v>51</v>
      </c>
      <c r="C17" s="5" t="s">
        <v>52</v>
      </c>
      <c r="D17" s="5">
        <v>50</v>
      </c>
      <c r="E17" s="5">
        <v>35</v>
      </c>
      <c r="F17" s="9" t="s">
        <v>53</v>
      </c>
      <c r="G17" s="2"/>
    </row>
    <row r="18" spans="1:7" ht="15.75" customHeight="1">
      <c r="A18" s="6" t="s">
        <v>54</v>
      </c>
      <c r="B18" s="4" t="s">
        <v>46</v>
      </c>
      <c r="C18" s="4" t="s">
        <v>55</v>
      </c>
      <c r="D18" s="4">
        <v>160</v>
      </c>
      <c r="E18" s="4">
        <v>15</v>
      </c>
      <c r="F18" s="8" t="s">
        <v>9</v>
      </c>
      <c r="G18" s="2"/>
    </row>
    <row r="19" spans="1:7" ht="15.75" customHeight="1">
      <c r="A19" s="7" t="s">
        <v>56</v>
      </c>
      <c r="B19" s="5" t="s">
        <v>7</v>
      </c>
      <c r="C19" s="5" t="s">
        <v>57</v>
      </c>
      <c r="D19" s="5">
        <v>980</v>
      </c>
      <c r="E19" s="5">
        <v>10</v>
      </c>
      <c r="F19" s="9" t="s">
        <v>9</v>
      </c>
      <c r="G19" s="2"/>
    </row>
    <row r="20" spans="1:7" ht="15.75" customHeight="1">
      <c r="A20" s="6" t="s">
        <v>58</v>
      </c>
      <c r="B20" s="4" t="s">
        <v>59</v>
      </c>
      <c r="C20" s="4" t="s">
        <v>60</v>
      </c>
      <c r="D20" s="4">
        <v>150</v>
      </c>
      <c r="E20" s="4">
        <v>15</v>
      </c>
      <c r="F20" s="8" t="s">
        <v>13</v>
      </c>
      <c r="G20" s="2"/>
    </row>
    <row r="21" spans="1:7" ht="15.75" customHeight="1">
      <c r="A21" s="7" t="s">
        <v>61</v>
      </c>
      <c r="B21" s="5" t="s">
        <v>62</v>
      </c>
      <c r="C21" s="5" t="s">
        <v>63</v>
      </c>
      <c r="D21" s="5">
        <v>200</v>
      </c>
      <c r="E21" s="5">
        <v>10</v>
      </c>
      <c r="F21" s="9" t="s">
        <v>24</v>
      </c>
      <c r="G21" s="2"/>
    </row>
    <row r="22" spans="1:7" ht="15.75" customHeight="1">
      <c r="A22" s="6" t="s">
        <v>64</v>
      </c>
      <c r="B22" s="4" t="s">
        <v>65</v>
      </c>
      <c r="C22" s="4" t="s">
        <v>66</v>
      </c>
      <c r="D22" s="4">
        <v>700</v>
      </c>
      <c r="E22" s="4">
        <v>50</v>
      </c>
      <c r="F22" s="8" t="s">
        <v>9</v>
      </c>
      <c r="G22" s="2"/>
    </row>
    <row r="23" spans="1:7" ht="15.75" customHeight="1">
      <c r="A23" s="7" t="s">
        <v>67</v>
      </c>
      <c r="B23" s="5" t="s">
        <v>68</v>
      </c>
      <c r="C23" s="5" t="s">
        <v>69</v>
      </c>
      <c r="D23" s="5">
        <v>80</v>
      </c>
      <c r="E23" s="5">
        <v>20</v>
      </c>
      <c r="F23" s="9" t="s">
        <v>17</v>
      </c>
      <c r="G23" s="2"/>
    </row>
    <row r="24" spans="1:7" ht="15.75" customHeight="1">
      <c r="A24" s="6" t="s">
        <v>70</v>
      </c>
      <c r="B24" s="4" t="s">
        <v>71</v>
      </c>
      <c r="C24" s="4" t="s">
        <v>72</v>
      </c>
      <c r="D24" s="4">
        <v>150</v>
      </c>
      <c r="E24" s="4">
        <v>30</v>
      </c>
      <c r="F24" s="8" t="s">
        <v>9</v>
      </c>
      <c r="G24" s="2"/>
    </row>
    <row r="25" spans="1:7" ht="15.75" customHeight="1">
      <c r="A25" s="7" t="s">
        <v>50</v>
      </c>
      <c r="B25" s="5" t="s">
        <v>51</v>
      </c>
      <c r="C25" s="5" t="s">
        <v>52</v>
      </c>
      <c r="D25" s="5">
        <v>50</v>
      </c>
      <c r="E25" s="5">
        <v>35</v>
      </c>
      <c r="F25" s="9" t="s">
        <v>53</v>
      </c>
      <c r="G25" s="3"/>
    </row>
    <row r="26" spans="1:7" ht="15.75" customHeight="1">
      <c r="A26" s="6" t="s">
        <v>73</v>
      </c>
      <c r="B26" s="4" t="s">
        <v>19</v>
      </c>
      <c r="C26" s="4" t="s">
        <v>74</v>
      </c>
      <c r="D26" s="4">
        <v>800</v>
      </c>
      <c r="E26" s="4">
        <v>45</v>
      </c>
      <c r="F26" s="8" t="s">
        <v>9</v>
      </c>
      <c r="G26" s="2"/>
    </row>
    <row r="27" spans="1:7" ht="15.75" customHeight="1">
      <c r="A27" s="7" t="s">
        <v>75</v>
      </c>
      <c r="B27" s="5" t="s">
        <v>59</v>
      </c>
      <c r="C27" s="5" t="s">
        <v>76</v>
      </c>
      <c r="D27" s="5">
        <v>130</v>
      </c>
      <c r="E27" s="5">
        <v>25</v>
      </c>
      <c r="F27" s="9" t="s">
        <v>13</v>
      </c>
      <c r="G27" s="2"/>
    </row>
    <row r="28" spans="1:7" ht="15.75" customHeight="1">
      <c r="A28" s="6" t="s">
        <v>77</v>
      </c>
      <c r="B28" s="4" t="s">
        <v>32</v>
      </c>
      <c r="C28" s="4" t="s">
        <v>78</v>
      </c>
      <c r="D28" s="4">
        <v>400</v>
      </c>
      <c r="E28" s="4">
        <v>40</v>
      </c>
      <c r="F28" s="8" t="s">
        <v>17</v>
      </c>
      <c r="G28" s="2"/>
    </row>
    <row r="29" spans="1:7" ht="15.75" customHeight="1">
      <c r="A29" s="7" t="s">
        <v>48</v>
      </c>
      <c r="B29" s="5" t="s">
        <v>26</v>
      </c>
      <c r="C29" s="5" t="s">
        <v>49</v>
      </c>
      <c r="D29" s="5">
        <v>230</v>
      </c>
      <c r="E29" s="5">
        <v>20</v>
      </c>
      <c r="F29" s="9" t="s">
        <v>9</v>
      </c>
      <c r="G29" s="3"/>
    </row>
    <row r="30" spans="1:7" ht="15.75" customHeight="1">
      <c r="A30" s="6" t="s">
        <v>79</v>
      </c>
      <c r="B30" s="4" t="s">
        <v>80</v>
      </c>
      <c r="C30" s="4" t="s">
        <v>81</v>
      </c>
      <c r="D30" s="4">
        <v>60</v>
      </c>
      <c r="E30" s="4">
        <v>30</v>
      </c>
      <c r="F30" s="8" t="s">
        <v>13</v>
      </c>
      <c r="G30" s="2"/>
    </row>
    <row r="31" spans="1:7" ht="15.75" customHeight="1">
      <c r="A31" s="7" t="s">
        <v>82</v>
      </c>
      <c r="B31" s="5" t="s">
        <v>83</v>
      </c>
      <c r="C31" s="5" t="s">
        <v>84</v>
      </c>
      <c r="D31" s="5">
        <v>40</v>
      </c>
      <c r="E31" s="5">
        <v>10</v>
      </c>
      <c r="F31" s="9" t="s">
        <v>17</v>
      </c>
      <c r="G31" s="2"/>
    </row>
    <row r="32" spans="1:7" ht="15.75" customHeight="1">
      <c r="A32" s="6" t="s">
        <v>85</v>
      </c>
      <c r="B32" s="4" t="s">
        <v>71</v>
      </c>
      <c r="C32" s="4" t="s">
        <v>86</v>
      </c>
      <c r="D32" s="4">
        <v>130</v>
      </c>
      <c r="E32" s="4">
        <v>5</v>
      </c>
      <c r="F32" s="8" t="s">
        <v>9</v>
      </c>
      <c r="G32" s="2"/>
    </row>
    <row r="33" spans="1:7" ht="15.75" customHeight="1">
      <c r="A33" s="7" t="s">
        <v>87</v>
      </c>
      <c r="B33" s="5" t="s">
        <v>88</v>
      </c>
      <c r="C33" s="5" t="s">
        <v>89</v>
      </c>
      <c r="D33" s="5">
        <v>50</v>
      </c>
      <c r="E33" s="5">
        <v>50</v>
      </c>
      <c r="F33" s="9" t="s">
        <v>13</v>
      </c>
      <c r="G33" s="2"/>
    </row>
    <row r="34" spans="1:7" ht="15.75" customHeight="1">
      <c r="A34" s="6" t="s">
        <v>40</v>
      </c>
      <c r="B34" s="4" t="s">
        <v>7</v>
      </c>
      <c r="C34" s="4" t="s">
        <v>41</v>
      </c>
      <c r="D34" s="4">
        <v>950</v>
      </c>
      <c r="E34" s="4">
        <v>25</v>
      </c>
      <c r="F34" s="8" t="s">
        <v>9</v>
      </c>
      <c r="G34" s="2"/>
    </row>
    <row r="35" spans="1:7" ht="15.75" customHeight="1">
      <c r="A35" s="13" t="s">
        <v>90</v>
      </c>
      <c r="B35" s="14" t="s">
        <v>91</v>
      </c>
      <c r="C35" s="14" t="s">
        <v>92</v>
      </c>
      <c r="D35" s="14">
        <v>100</v>
      </c>
      <c r="E35" s="14">
        <v>20</v>
      </c>
      <c r="F35" s="15" t="s">
        <v>53</v>
      </c>
    </row>
    <row r="36" spans="1:7" ht="15.75" customHeight="1"/>
    <row r="37" spans="1:7" ht="15.75" customHeight="1"/>
    <row r="38" spans="1:7" ht="15.75" customHeight="1"/>
    <row r="39" spans="1:7" ht="15.75" customHeight="1"/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4D22C-6A21-433D-B73C-A0A13B8FA164}">
  <dimension ref="A1:U35"/>
  <sheetViews>
    <sheetView tabSelected="1" topLeftCell="A4" workbookViewId="0">
      <selection activeCell="M20" sqref="M20"/>
    </sheetView>
  </sheetViews>
  <sheetFormatPr defaultRowHeight="12.75"/>
  <cols>
    <col min="1" max="1" width="12.5703125" customWidth="1"/>
    <col min="2" max="2" width="16" customWidth="1"/>
    <col min="3" max="3" width="14.42578125" customWidth="1"/>
    <col min="4" max="4" width="10.5703125" customWidth="1"/>
    <col min="5" max="5" width="10.7109375" customWidth="1"/>
    <col min="6" max="6" width="11.28515625" bestFit="1" customWidth="1"/>
  </cols>
  <sheetData>
    <row r="1" spans="1:20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5</v>
      </c>
    </row>
    <row r="2" spans="1:20">
      <c r="A2" s="6" t="s">
        <v>6</v>
      </c>
      <c r="B2" s="4" t="s">
        <v>7</v>
      </c>
      <c r="C2" s="4" t="s">
        <v>8</v>
      </c>
      <c r="D2" s="4">
        <v>1000</v>
      </c>
      <c r="E2" s="4">
        <v>30</v>
      </c>
      <c r="F2" s="8" t="s">
        <v>9</v>
      </c>
    </row>
    <row r="3" spans="1:20" ht="13.5" thickBot="1">
      <c r="A3" s="7" t="s">
        <v>10</v>
      </c>
      <c r="B3" s="5" t="s">
        <v>11</v>
      </c>
      <c r="C3" s="5" t="s">
        <v>12</v>
      </c>
      <c r="D3" s="5">
        <v>80</v>
      </c>
      <c r="E3" s="5">
        <v>15</v>
      </c>
      <c r="F3" s="9" t="s">
        <v>13</v>
      </c>
    </row>
    <row r="4" spans="1:20">
      <c r="A4" s="6" t="s">
        <v>14</v>
      </c>
      <c r="B4" s="4" t="s">
        <v>15</v>
      </c>
      <c r="C4" s="4" t="s">
        <v>16</v>
      </c>
      <c r="D4" s="4">
        <v>130</v>
      </c>
      <c r="E4" s="4">
        <v>40</v>
      </c>
      <c r="F4" s="8" t="s">
        <v>17</v>
      </c>
      <c r="H4" s="43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/>
    </row>
    <row r="5" spans="1:20">
      <c r="A5" s="7" t="s">
        <v>18</v>
      </c>
      <c r="B5" s="5" t="s">
        <v>19</v>
      </c>
      <c r="C5" s="5" t="s">
        <v>20</v>
      </c>
      <c r="D5" s="5">
        <v>900</v>
      </c>
      <c r="E5" s="5">
        <v>25</v>
      </c>
      <c r="F5" s="9" t="s">
        <v>9</v>
      </c>
      <c r="H5" s="47"/>
      <c r="T5" s="48"/>
    </row>
    <row r="6" spans="1:20">
      <c r="A6" s="6" t="s">
        <v>21</v>
      </c>
      <c r="B6" s="4" t="s">
        <v>22</v>
      </c>
      <c r="C6" s="4" t="s">
        <v>23</v>
      </c>
      <c r="D6" s="4">
        <v>70</v>
      </c>
      <c r="E6" s="4">
        <v>20</v>
      </c>
      <c r="F6" s="8" t="s">
        <v>24</v>
      </c>
      <c r="H6" s="47"/>
      <c r="T6" s="48"/>
    </row>
    <row r="7" spans="1:20" ht="18">
      <c r="A7" s="7" t="s">
        <v>25</v>
      </c>
      <c r="B7" s="5" t="s">
        <v>26</v>
      </c>
      <c r="C7" s="5" t="s">
        <v>27</v>
      </c>
      <c r="D7" s="5">
        <v>200</v>
      </c>
      <c r="E7" s="5">
        <v>45</v>
      </c>
      <c r="F7" s="9" t="s">
        <v>9</v>
      </c>
      <c r="H7" s="47"/>
      <c r="I7" s="27" t="s">
        <v>108</v>
      </c>
      <c r="T7" s="48"/>
    </row>
    <row r="8" spans="1:20" ht="13.5" thickBot="1">
      <c r="A8" s="6" t="s">
        <v>28</v>
      </c>
      <c r="B8" s="4" t="s">
        <v>29</v>
      </c>
      <c r="C8" s="4" t="s">
        <v>30</v>
      </c>
      <c r="D8" s="4">
        <v>30</v>
      </c>
      <c r="E8" s="4">
        <v>5</v>
      </c>
      <c r="F8" s="8" t="s">
        <v>13</v>
      </c>
      <c r="H8" s="47"/>
      <c r="T8" s="48"/>
    </row>
    <row r="9" spans="1:20" ht="15.75" thickBot="1">
      <c r="A9" s="7" t="s">
        <v>31</v>
      </c>
      <c r="B9" s="5" t="s">
        <v>32</v>
      </c>
      <c r="C9" s="5" t="s">
        <v>33</v>
      </c>
      <c r="D9" s="5">
        <v>90</v>
      </c>
      <c r="E9" s="5">
        <v>35</v>
      </c>
      <c r="F9" s="9" t="s">
        <v>17</v>
      </c>
      <c r="H9" s="47"/>
      <c r="J9" s="22" t="s">
        <v>168</v>
      </c>
      <c r="M9" s="90">
        <f>COUNTBLANK(D2:D35)</f>
        <v>0</v>
      </c>
      <c r="T9" s="48"/>
    </row>
    <row r="10" spans="1:20">
      <c r="A10" s="6" t="s">
        <v>34</v>
      </c>
      <c r="B10" s="4" t="s">
        <v>35</v>
      </c>
      <c r="C10" s="4" t="s">
        <v>36</v>
      </c>
      <c r="D10" s="4">
        <v>500</v>
      </c>
      <c r="E10" s="4">
        <v>50</v>
      </c>
      <c r="F10" s="8" t="s">
        <v>9</v>
      </c>
      <c r="H10" s="47"/>
      <c r="T10" s="48"/>
    </row>
    <row r="11" spans="1:20" ht="15">
      <c r="A11" s="7" t="s">
        <v>37</v>
      </c>
      <c r="B11" s="5" t="s">
        <v>38</v>
      </c>
      <c r="C11" s="5" t="s">
        <v>39</v>
      </c>
      <c r="D11" s="5">
        <v>130</v>
      </c>
      <c r="E11" s="5">
        <v>10</v>
      </c>
      <c r="F11" s="9" t="s">
        <v>24</v>
      </c>
      <c r="H11" s="47"/>
      <c r="J11" s="86" t="s">
        <v>94</v>
      </c>
      <c r="T11" s="48"/>
    </row>
    <row r="12" spans="1:20" ht="15">
      <c r="A12" s="6" t="s">
        <v>40</v>
      </c>
      <c r="B12" s="4" t="s">
        <v>7</v>
      </c>
      <c r="C12" s="4" t="s">
        <v>41</v>
      </c>
      <c r="D12" s="4">
        <v>950</v>
      </c>
      <c r="E12" s="4">
        <v>25</v>
      </c>
      <c r="F12" s="8" t="s">
        <v>9</v>
      </c>
      <c r="H12" s="47"/>
      <c r="J12" s="22" t="s">
        <v>169</v>
      </c>
      <c r="K12" s="22"/>
      <c r="L12" s="22"/>
      <c r="M12" s="22"/>
      <c r="N12" s="22"/>
      <c r="O12" s="22"/>
      <c r="P12" s="22"/>
      <c r="Q12" s="22"/>
      <c r="T12" s="48"/>
    </row>
    <row r="13" spans="1:20" ht="15">
      <c r="A13" s="7" t="s">
        <v>42</v>
      </c>
      <c r="B13" s="5" t="s">
        <v>11</v>
      </c>
      <c r="C13" s="5" t="s">
        <v>30</v>
      </c>
      <c r="D13" s="5">
        <v>90</v>
      </c>
      <c r="E13" s="5">
        <v>40</v>
      </c>
      <c r="F13" s="9" t="s">
        <v>13</v>
      </c>
      <c r="H13" s="47"/>
      <c r="I13" s="87"/>
      <c r="J13" s="22" t="s">
        <v>171</v>
      </c>
      <c r="K13" s="22"/>
      <c r="L13" s="22"/>
      <c r="M13" s="22"/>
      <c r="N13" s="22"/>
      <c r="O13" s="22"/>
      <c r="P13" s="22"/>
      <c r="Q13" s="22"/>
      <c r="T13" s="48"/>
    </row>
    <row r="14" spans="1:20" ht="15">
      <c r="A14" s="6" t="s">
        <v>43</v>
      </c>
      <c r="B14" s="4" t="s">
        <v>15</v>
      </c>
      <c r="C14" s="4" t="s">
        <v>44</v>
      </c>
      <c r="D14" s="4">
        <v>120</v>
      </c>
      <c r="E14" s="4">
        <v>35</v>
      </c>
      <c r="F14" s="8" t="s">
        <v>17</v>
      </c>
      <c r="H14" s="47"/>
      <c r="J14" s="89" t="s">
        <v>97</v>
      </c>
      <c r="T14" s="48"/>
    </row>
    <row r="15" spans="1:20">
      <c r="A15" s="7" t="s">
        <v>45</v>
      </c>
      <c r="B15" s="5" t="s">
        <v>46</v>
      </c>
      <c r="C15" s="5" t="s">
        <v>47</v>
      </c>
      <c r="D15" s="5">
        <v>150</v>
      </c>
      <c r="E15" s="5">
        <v>15</v>
      </c>
      <c r="F15" s="9" t="s">
        <v>9</v>
      </c>
      <c r="H15" s="47"/>
      <c r="T15" s="48"/>
    </row>
    <row r="16" spans="1:20">
      <c r="A16" s="6" t="s">
        <v>48</v>
      </c>
      <c r="B16" s="4" t="s">
        <v>26</v>
      </c>
      <c r="C16" s="4" t="s">
        <v>49</v>
      </c>
      <c r="D16" s="4">
        <v>250</v>
      </c>
      <c r="E16" s="4">
        <v>20</v>
      </c>
      <c r="F16" s="8" t="s">
        <v>9</v>
      </c>
      <c r="H16" s="47"/>
      <c r="J16" s="87"/>
      <c r="T16" s="48"/>
    </row>
    <row r="17" spans="1:21">
      <c r="A17" s="7" t="s">
        <v>50</v>
      </c>
      <c r="B17" s="5" t="s">
        <v>51</v>
      </c>
      <c r="C17" s="5" t="s">
        <v>52</v>
      </c>
      <c r="D17" s="5">
        <v>50</v>
      </c>
      <c r="E17" s="5">
        <v>35</v>
      </c>
      <c r="F17" s="9" t="s">
        <v>53</v>
      </c>
      <c r="H17" s="47"/>
      <c r="T17" s="48"/>
    </row>
    <row r="18" spans="1:21" ht="18">
      <c r="A18" s="6" t="s">
        <v>54</v>
      </c>
      <c r="B18" s="4" t="s">
        <v>46</v>
      </c>
      <c r="C18" s="4" t="s">
        <v>55</v>
      </c>
      <c r="D18" s="4">
        <v>160</v>
      </c>
      <c r="E18" s="4">
        <v>15</v>
      </c>
      <c r="F18" s="8" t="s">
        <v>9</v>
      </c>
      <c r="H18" s="47"/>
      <c r="I18" s="27" t="s">
        <v>118</v>
      </c>
      <c r="T18" s="48"/>
    </row>
    <row r="19" spans="1:21" ht="13.5" thickBot="1">
      <c r="A19" s="7" t="s">
        <v>56</v>
      </c>
      <c r="B19" s="5" t="s">
        <v>7</v>
      </c>
      <c r="C19" s="5" t="s">
        <v>57</v>
      </c>
      <c r="D19" s="5">
        <v>980</v>
      </c>
      <c r="E19" s="5">
        <v>10</v>
      </c>
      <c r="F19" s="9" t="s">
        <v>9</v>
      </c>
      <c r="H19" s="47"/>
      <c r="T19" s="48"/>
    </row>
    <row r="20" spans="1:21" ht="15.75" thickBot="1">
      <c r="A20" s="6" t="s">
        <v>58</v>
      </c>
      <c r="B20" s="4" t="s">
        <v>59</v>
      </c>
      <c r="C20" s="4" t="s">
        <v>60</v>
      </c>
      <c r="D20" s="4">
        <v>150</v>
      </c>
      <c r="E20" s="4">
        <v>15</v>
      </c>
      <c r="F20" s="8" t="s">
        <v>13</v>
      </c>
      <c r="H20" s="47"/>
      <c r="J20" s="22" t="s">
        <v>170</v>
      </c>
      <c r="K20" s="87"/>
      <c r="M20" s="90">
        <f>COUNTBLANK(Table12[Category])</f>
        <v>0</v>
      </c>
      <c r="T20" s="48"/>
    </row>
    <row r="21" spans="1:21">
      <c r="A21" s="7" t="s">
        <v>61</v>
      </c>
      <c r="B21" s="5" t="s">
        <v>62</v>
      </c>
      <c r="C21" s="5" t="s">
        <v>63</v>
      </c>
      <c r="D21" s="5">
        <v>200</v>
      </c>
      <c r="E21" s="5">
        <v>10</v>
      </c>
      <c r="F21" s="9" t="s">
        <v>24</v>
      </c>
      <c r="H21" s="47"/>
      <c r="T21" s="48"/>
    </row>
    <row r="22" spans="1:21" ht="15">
      <c r="A22" s="6" t="s">
        <v>64</v>
      </c>
      <c r="B22" s="4" t="s">
        <v>65</v>
      </c>
      <c r="C22" s="4" t="s">
        <v>66</v>
      </c>
      <c r="D22" s="4">
        <v>700</v>
      </c>
      <c r="E22" s="4">
        <v>50</v>
      </c>
      <c r="F22" s="8" t="s">
        <v>9</v>
      </c>
      <c r="H22" s="47"/>
      <c r="I22" s="22"/>
      <c r="J22" s="22" t="s">
        <v>174</v>
      </c>
      <c r="K22" s="22"/>
      <c r="L22" s="22"/>
      <c r="T22" s="48"/>
    </row>
    <row r="23" spans="1:21" ht="15">
      <c r="A23" s="7" t="s">
        <v>67</v>
      </c>
      <c r="B23" s="5" t="s">
        <v>68</v>
      </c>
      <c r="C23" s="5" t="s">
        <v>69</v>
      </c>
      <c r="D23" s="5">
        <v>80</v>
      </c>
      <c r="E23" s="5">
        <v>20</v>
      </c>
      <c r="F23" s="9" t="s">
        <v>17</v>
      </c>
      <c r="H23" s="47"/>
      <c r="J23" s="89" t="s">
        <v>105</v>
      </c>
      <c r="K23" s="22"/>
      <c r="L23" s="22"/>
      <c r="M23" s="22"/>
      <c r="N23" s="22"/>
      <c r="O23" s="22"/>
      <c r="P23" s="22"/>
      <c r="Q23" s="22"/>
      <c r="R23" s="22"/>
      <c r="S23" s="22"/>
      <c r="T23" s="88"/>
      <c r="U23" s="22"/>
    </row>
    <row r="24" spans="1:21" ht="15">
      <c r="A24" s="6" t="s">
        <v>70</v>
      </c>
      <c r="B24" s="4" t="s">
        <v>71</v>
      </c>
      <c r="C24" s="4" t="s">
        <v>72</v>
      </c>
      <c r="D24" s="4">
        <v>150</v>
      </c>
      <c r="E24" s="4">
        <v>30</v>
      </c>
      <c r="F24" s="8" t="s">
        <v>9</v>
      </c>
      <c r="H24" s="47"/>
      <c r="J24" s="89" t="s">
        <v>175</v>
      </c>
      <c r="K24" s="22"/>
      <c r="L24" s="22"/>
      <c r="M24" s="22"/>
      <c r="N24" s="22"/>
      <c r="O24" s="22"/>
      <c r="P24" s="22"/>
      <c r="Q24" s="22"/>
      <c r="R24" s="22"/>
      <c r="S24" s="22"/>
      <c r="T24" s="88"/>
      <c r="U24" s="22"/>
    </row>
    <row r="25" spans="1:21" ht="15.75">
      <c r="A25" s="7" t="s">
        <v>50</v>
      </c>
      <c r="B25" s="5" t="s">
        <v>51</v>
      </c>
      <c r="C25" s="5" t="s">
        <v>52</v>
      </c>
      <c r="D25" s="5">
        <v>50</v>
      </c>
      <c r="E25" s="5">
        <v>35</v>
      </c>
      <c r="F25" s="9" t="s">
        <v>53</v>
      </c>
      <c r="H25" s="47"/>
      <c r="J25" s="89" t="s">
        <v>115</v>
      </c>
      <c r="K25" s="22"/>
      <c r="L25" s="22"/>
      <c r="M25" s="22"/>
      <c r="N25" s="22"/>
      <c r="O25" s="22"/>
      <c r="P25" s="22"/>
      <c r="Q25" s="22"/>
      <c r="R25" s="22"/>
      <c r="S25" s="22"/>
      <c r="T25" s="88"/>
      <c r="U25" s="22"/>
    </row>
    <row r="26" spans="1:21" ht="15">
      <c r="A26" s="6" t="s">
        <v>73</v>
      </c>
      <c r="B26" s="4" t="s">
        <v>19</v>
      </c>
      <c r="C26" s="4" t="s">
        <v>74</v>
      </c>
      <c r="D26" s="4">
        <v>800</v>
      </c>
      <c r="E26" s="4">
        <v>45</v>
      </c>
      <c r="F26" s="8" t="s">
        <v>9</v>
      </c>
      <c r="H26" s="47"/>
      <c r="J26" s="22" t="s">
        <v>173</v>
      </c>
      <c r="K26" s="22"/>
      <c r="L26" s="22"/>
      <c r="M26" s="22"/>
      <c r="N26" s="22"/>
      <c r="O26" s="22"/>
      <c r="P26" s="22"/>
      <c r="Q26" s="22"/>
      <c r="R26" s="22"/>
      <c r="S26" s="22"/>
      <c r="T26" s="88"/>
      <c r="U26" s="22"/>
    </row>
    <row r="27" spans="1:21" ht="15">
      <c r="A27" s="7" t="s">
        <v>75</v>
      </c>
      <c r="B27" s="5" t="s">
        <v>59</v>
      </c>
      <c r="C27" s="5" t="s">
        <v>76</v>
      </c>
      <c r="D27" s="5">
        <v>130</v>
      </c>
      <c r="E27" s="5">
        <v>25</v>
      </c>
      <c r="F27" s="9" t="s">
        <v>13</v>
      </c>
      <c r="H27" s="47"/>
      <c r="J27" s="22" t="s">
        <v>172</v>
      </c>
      <c r="K27" s="22"/>
      <c r="L27" s="22"/>
      <c r="M27" s="22"/>
      <c r="N27" s="22"/>
      <c r="T27" s="48"/>
    </row>
    <row r="28" spans="1:21" ht="15">
      <c r="A28" s="6" t="s">
        <v>77</v>
      </c>
      <c r="B28" s="4" t="s">
        <v>32</v>
      </c>
      <c r="C28" s="4" t="s">
        <v>78</v>
      </c>
      <c r="D28" s="4">
        <v>400</v>
      </c>
      <c r="E28" s="4">
        <v>40</v>
      </c>
      <c r="F28" s="8" t="s">
        <v>17</v>
      </c>
      <c r="H28" s="47"/>
      <c r="J28" s="22"/>
      <c r="K28" s="22"/>
      <c r="L28" s="22"/>
      <c r="M28" s="22"/>
      <c r="N28" s="22"/>
      <c r="T28" s="48"/>
    </row>
    <row r="29" spans="1:21" ht="13.5" thickBot="1">
      <c r="A29" s="7" t="s">
        <v>48</v>
      </c>
      <c r="B29" s="5" t="s">
        <v>26</v>
      </c>
      <c r="C29" s="5" t="s">
        <v>49</v>
      </c>
      <c r="D29" s="5">
        <v>230</v>
      </c>
      <c r="E29" s="5">
        <v>20</v>
      </c>
      <c r="F29" s="9" t="s">
        <v>9</v>
      </c>
      <c r="H29" s="49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1"/>
    </row>
    <row r="30" spans="1:21">
      <c r="A30" s="6" t="s">
        <v>79</v>
      </c>
      <c r="B30" s="4" t="s">
        <v>80</v>
      </c>
      <c r="C30" s="4" t="s">
        <v>81</v>
      </c>
      <c r="D30" s="4">
        <v>60</v>
      </c>
      <c r="E30" s="4">
        <v>30</v>
      </c>
      <c r="F30" s="8" t="s">
        <v>13</v>
      </c>
    </row>
    <row r="31" spans="1:21">
      <c r="A31" s="7" t="s">
        <v>82</v>
      </c>
      <c r="B31" s="5" t="s">
        <v>83</v>
      </c>
      <c r="C31" s="5" t="s">
        <v>84</v>
      </c>
      <c r="D31" s="5">
        <v>40</v>
      </c>
      <c r="E31" s="5">
        <v>10</v>
      </c>
      <c r="F31" s="9" t="s">
        <v>17</v>
      </c>
    </row>
    <row r="32" spans="1:21">
      <c r="A32" s="6" t="s">
        <v>85</v>
      </c>
      <c r="B32" s="4" t="s">
        <v>71</v>
      </c>
      <c r="C32" s="4" t="s">
        <v>86</v>
      </c>
      <c r="D32" s="4">
        <v>130</v>
      </c>
      <c r="E32" s="4">
        <v>5</v>
      </c>
      <c r="F32" s="8" t="s">
        <v>9</v>
      </c>
    </row>
    <row r="33" spans="1:6">
      <c r="A33" s="7" t="s">
        <v>87</v>
      </c>
      <c r="B33" s="5" t="s">
        <v>88</v>
      </c>
      <c r="C33" s="5" t="s">
        <v>89</v>
      </c>
      <c r="D33" s="5">
        <v>50</v>
      </c>
      <c r="E33" s="5">
        <v>50</v>
      </c>
      <c r="F33" s="9" t="s">
        <v>13</v>
      </c>
    </row>
    <row r="34" spans="1:6">
      <c r="A34" s="6" t="s">
        <v>40</v>
      </c>
      <c r="B34" s="4" t="s">
        <v>7</v>
      </c>
      <c r="C34" s="4" t="s">
        <v>41</v>
      </c>
      <c r="D34" s="4">
        <v>950</v>
      </c>
      <c r="E34" s="4">
        <v>25</v>
      </c>
      <c r="F34" s="8" t="s">
        <v>9</v>
      </c>
    </row>
    <row r="35" spans="1:6">
      <c r="A35" s="13" t="s">
        <v>90</v>
      </c>
      <c r="B35" s="14" t="s">
        <v>91</v>
      </c>
      <c r="C35" s="14" t="s">
        <v>92</v>
      </c>
      <c r="D35" s="14">
        <v>100</v>
      </c>
      <c r="E35" s="14">
        <v>20</v>
      </c>
      <c r="F35" s="15" t="s">
        <v>53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B32C2-EF41-4C3D-B5D1-A96F1A073D27}">
  <dimension ref="A1:Q35"/>
  <sheetViews>
    <sheetView topLeftCell="A7" workbookViewId="0">
      <selection activeCell="D2" sqref="D2"/>
    </sheetView>
  </sheetViews>
  <sheetFormatPr defaultRowHeight="12.75"/>
  <cols>
    <col min="1" max="1" width="15" bestFit="1" customWidth="1"/>
    <col min="2" max="2" width="18.5703125" style="20" bestFit="1" customWidth="1"/>
    <col min="3" max="3" width="16.85546875" bestFit="1" customWidth="1"/>
    <col min="4" max="4" width="13" bestFit="1" customWidth="1"/>
    <col min="5" max="5" width="13.140625" bestFit="1" customWidth="1"/>
    <col min="6" max="6" width="13.7109375" bestFit="1" customWidth="1"/>
  </cols>
  <sheetData>
    <row r="1" spans="1:17">
      <c r="A1" s="10" t="s">
        <v>0</v>
      </c>
      <c r="B1" s="28" t="s">
        <v>1</v>
      </c>
      <c r="C1" s="11" t="s">
        <v>2</v>
      </c>
      <c r="D1" s="11" t="s">
        <v>3</v>
      </c>
      <c r="E1" s="11" t="s">
        <v>4</v>
      </c>
      <c r="F1" s="12" t="s">
        <v>5</v>
      </c>
    </row>
    <row r="2" spans="1:17">
      <c r="A2" s="6" t="s">
        <v>6</v>
      </c>
      <c r="B2" s="29" t="s">
        <v>7</v>
      </c>
      <c r="C2" s="4" t="s">
        <v>8</v>
      </c>
      <c r="D2" s="4">
        <v>1000</v>
      </c>
      <c r="E2" s="4">
        <v>30</v>
      </c>
      <c r="F2" s="8" t="s">
        <v>9</v>
      </c>
    </row>
    <row r="3" spans="1:17">
      <c r="A3" s="7" t="s">
        <v>10</v>
      </c>
      <c r="B3" s="30" t="s">
        <v>11</v>
      </c>
      <c r="C3" s="5" t="s">
        <v>12</v>
      </c>
      <c r="D3" s="5">
        <v>80</v>
      </c>
      <c r="E3" s="5">
        <v>15</v>
      </c>
      <c r="F3" s="9" t="s">
        <v>13</v>
      </c>
    </row>
    <row r="4" spans="1:17">
      <c r="A4" s="6" t="s">
        <v>14</v>
      </c>
      <c r="B4" s="29" t="s">
        <v>15</v>
      </c>
      <c r="C4" s="4" t="s">
        <v>16</v>
      </c>
      <c r="D4" s="4">
        <v>130</v>
      </c>
      <c r="E4" s="4">
        <v>40</v>
      </c>
      <c r="F4" s="8" t="s">
        <v>17</v>
      </c>
    </row>
    <row r="5" spans="1:17">
      <c r="A5" s="7" t="s">
        <v>18</v>
      </c>
      <c r="B5" s="30" t="s">
        <v>19</v>
      </c>
      <c r="C5" s="5" t="s">
        <v>20</v>
      </c>
      <c r="D5" s="5">
        <v>900</v>
      </c>
      <c r="E5" s="5">
        <v>25</v>
      </c>
      <c r="F5" s="9" t="s">
        <v>9</v>
      </c>
    </row>
    <row r="6" spans="1:17">
      <c r="A6" s="6" t="s">
        <v>21</v>
      </c>
      <c r="B6" s="29" t="s">
        <v>22</v>
      </c>
      <c r="C6" s="4" t="s">
        <v>23</v>
      </c>
      <c r="D6" s="4">
        <v>70</v>
      </c>
      <c r="E6" s="4">
        <v>20</v>
      </c>
      <c r="F6" s="8" t="s">
        <v>24</v>
      </c>
    </row>
    <row r="7" spans="1:17">
      <c r="A7" s="7" t="s">
        <v>25</v>
      </c>
      <c r="B7" s="30" t="s">
        <v>26</v>
      </c>
      <c r="C7" s="5" t="s">
        <v>27</v>
      </c>
      <c r="D7" s="5">
        <v>200</v>
      </c>
      <c r="E7" s="5">
        <v>45</v>
      </c>
      <c r="F7" s="9" t="s">
        <v>9</v>
      </c>
    </row>
    <row r="8" spans="1:17">
      <c r="A8" s="6" t="s">
        <v>28</v>
      </c>
      <c r="B8" s="29" t="s">
        <v>29</v>
      </c>
      <c r="C8" s="4" t="s">
        <v>30</v>
      </c>
      <c r="D8" s="4">
        <v>30</v>
      </c>
      <c r="E8" s="4">
        <v>5</v>
      </c>
      <c r="F8" s="8" t="s">
        <v>13</v>
      </c>
    </row>
    <row r="9" spans="1:17">
      <c r="A9" s="7" t="s">
        <v>31</v>
      </c>
      <c r="B9" s="30" t="s">
        <v>32</v>
      </c>
      <c r="C9" s="5" t="s">
        <v>33</v>
      </c>
      <c r="D9" s="5">
        <v>90</v>
      </c>
      <c r="E9" s="5">
        <v>35</v>
      </c>
      <c r="F9" s="9" t="s">
        <v>17</v>
      </c>
    </row>
    <row r="10" spans="1:17">
      <c r="A10" s="6" t="s">
        <v>34</v>
      </c>
      <c r="B10" s="29" t="s">
        <v>35</v>
      </c>
      <c r="C10" s="4" t="s">
        <v>36</v>
      </c>
      <c r="D10" s="4">
        <v>500</v>
      </c>
      <c r="E10" s="4">
        <v>50</v>
      </c>
      <c r="F10" s="8" t="s">
        <v>9</v>
      </c>
    </row>
    <row r="11" spans="1:17" ht="15">
      <c r="A11" s="7" t="s">
        <v>37</v>
      </c>
      <c r="B11" s="30" t="s">
        <v>38</v>
      </c>
      <c r="C11" s="5" t="s">
        <v>39</v>
      </c>
      <c r="D11" s="5">
        <v>130</v>
      </c>
      <c r="E11" s="5">
        <v>10</v>
      </c>
      <c r="F11" s="9" t="s">
        <v>24</v>
      </c>
      <c r="K11" s="22"/>
      <c r="L11" s="22"/>
      <c r="M11" s="22"/>
      <c r="N11" s="22"/>
      <c r="O11" s="22"/>
      <c r="P11" s="22"/>
      <c r="Q11" s="22"/>
    </row>
    <row r="12" spans="1:17">
      <c r="A12" s="6" t="s">
        <v>40</v>
      </c>
      <c r="B12" s="29" t="s">
        <v>7</v>
      </c>
      <c r="C12" s="4" t="s">
        <v>41</v>
      </c>
      <c r="D12" s="4">
        <v>950</v>
      </c>
      <c r="E12" s="4">
        <v>25</v>
      </c>
      <c r="F12" s="8" t="s">
        <v>9</v>
      </c>
    </row>
    <row r="13" spans="1:17">
      <c r="A13" s="7" t="s">
        <v>42</v>
      </c>
      <c r="B13" s="30" t="s">
        <v>11</v>
      </c>
      <c r="C13" s="5" t="s">
        <v>30</v>
      </c>
      <c r="D13" s="5">
        <v>90</v>
      </c>
      <c r="E13" s="5">
        <v>40</v>
      </c>
      <c r="F13" s="9" t="s">
        <v>13</v>
      </c>
    </row>
    <row r="14" spans="1:17">
      <c r="A14" s="6" t="s">
        <v>43</v>
      </c>
      <c r="B14" s="29" t="s">
        <v>15</v>
      </c>
      <c r="C14" s="4" t="s">
        <v>44</v>
      </c>
      <c r="D14" s="4">
        <v>120</v>
      </c>
      <c r="E14" s="4">
        <v>35</v>
      </c>
      <c r="F14" s="8" t="s">
        <v>17</v>
      </c>
    </row>
    <row r="15" spans="1:17">
      <c r="A15" s="7" t="s">
        <v>45</v>
      </c>
      <c r="B15" s="30" t="s">
        <v>46</v>
      </c>
      <c r="C15" s="5" t="s">
        <v>47</v>
      </c>
      <c r="D15" s="5">
        <v>150</v>
      </c>
      <c r="E15" s="5">
        <v>15</v>
      </c>
      <c r="F15" s="9" t="s">
        <v>9</v>
      </c>
    </row>
    <row r="16" spans="1:17">
      <c r="A16" s="6" t="s">
        <v>48</v>
      </c>
      <c r="B16" s="29" t="s">
        <v>26</v>
      </c>
      <c r="C16" s="4" t="s">
        <v>49</v>
      </c>
      <c r="D16" s="4">
        <v>250</v>
      </c>
      <c r="E16" s="4">
        <v>20</v>
      </c>
      <c r="F16" s="8" t="s">
        <v>9</v>
      </c>
    </row>
    <row r="17" spans="1:6">
      <c r="A17" s="7" t="s">
        <v>50</v>
      </c>
      <c r="B17" s="30" t="s">
        <v>51</v>
      </c>
      <c r="C17" s="5" t="s">
        <v>52</v>
      </c>
      <c r="D17" s="5">
        <v>50</v>
      </c>
      <c r="E17" s="5">
        <v>35</v>
      </c>
      <c r="F17" s="9" t="s">
        <v>53</v>
      </c>
    </row>
    <row r="18" spans="1:6">
      <c r="A18" s="6" t="s">
        <v>54</v>
      </c>
      <c r="B18" s="29" t="s">
        <v>46</v>
      </c>
      <c r="C18" s="4" t="s">
        <v>55</v>
      </c>
      <c r="D18" s="4">
        <v>160</v>
      </c>
      <c r="E18" s="4">
        <v>15</v>
      </c>
      <c r="F18" s="8" t="s">
        <v>9</v>
      </c>
    </row>
    <row r="19" spans="1:6">
      <c r="A19" s="7" t="s">
        <v>56</v>
      </c>
      <c r="B19" s="30" t="s">
        <v>7</v>
      </c>
      <c r="C19" s="5" t="s">
        <v>57</v>
      </c>
      <c r="D19" s="5">
        <v>980</v>
      </c>
      <c r="E19" s="5">
        <v>10</v>
      </c>
      <c r="F19" s="9" t="s">
        <v>9</v>
      </c>
    </row>
    <row r="20" spans="1:6">
      <c r="A20" s="6" t="s">
        <v>58</v>
      </c>
      <c r="B20" s="29" t="s">
        <v>59</v>
      </c>
      <c r="C20" s="4" t="s">
        <v>60</v>
      </c>
      <c r="D20" s="4">
        <v>150</v>
      </c>
      <c r="E20" s="4">
        <v>15</v>
      </c>
      <c r="F20" s="8" t="s">
        <v>13</v>
      </c>
    </row>
    <row r="21" spans="1:6">
      <c r="A21" s="7" t="s">
        <v>61</v>
      </c>
      <c r="B21" s="30" t="s">
        <v>62</v>
      </c>
      <c r="C21" s="5" t="s">
        <v>63</v>
      </c>
      <c r="D21" s="5">
        <v>200</v>
      </c>
      <c r="E21" s="5">
        <v>10</v>
      </c>
      <c r="F21" s="9" t="s">
        <v>24</v>
      </c>
    </row>
    <row r="22" spans="1:6">
      <c r="A22" s="6" t="s">
        <v>64</v>
      </c>
      <c r="B22" s="29" t="s">
        <v>65</v>
      </c>
      <c r="C22" s="4" t="s">
        <v>66</v>
      </c>
      <c r="D22" s="4">
        <v>700</v>
      </c>
      <c r="E22" s="4">
        <v>50</v>
      </c>
      <c r="F22" s="8" t="s">
        <v>9</v>
      </c>
    </row>
    <row r="23" spans="1:6">
      <c r="A23" s="7" t="s">
        <v>67</v>
      </c>
      <c r="B23" s="30" t="s">
        <v>68</v>
      </c>
      <c r="C23" s="5" t="s">
        <v>69</v>
      </c>
      <c r="D23" s="5">
        <v>80</v>
      </c>
      <c r="E23" s="5">
        <v>20</v>
      </c>
      <c r="F23" s="9" t="s">
        <v>17</v>
      </c>
    </row>
    <row r="24" spans="1:6">
      <c r="A24" s="6" t="s">
        <v>70</v>
      </c>
      <c r="B24" s="29" t="s">
        <v>71</v>
      </c>
      <c r="C24" s="4" t="s">
        <v>72</v>
      </c>
      <c r="D24" s="4">
        <v>150</v>
      </c>
      <c r="E24" s="4">
        <v>30</v>
      </c>
      <c r="F24" s="8" t="s">
        <v>9</v>
      </c>
    </row>
    <row r="25" spans="1:6">
      <c r="A25" s="7" t="s">
        <v>50</v>
      </c>
      <c r="B25" s="30" t="s">
        <v>51</v>
      </c>
      <c r="C25" s="5" t="s">
        <v>52</v>
      </c>
      <c r="D25" s="5">
        <v>50</v>
      </c>
      <c r="E25" s="5">
        <v>35</v>
      </c>
      <c r="F25" s="9" t="s">
        <v>53</v>
      </c>
    </row>
    <row r="26" spans="1:6">
      <c r="A26" s="6" t="s">
        <v>73</v>
      </c>
      <c r="B26" s="29" t="s">
        <v>19</v>
      </c>
      <c r="C26" s="4" t="s">
        <v>74</v>
      </c>
      <c r="D26" s="4">
        <v>800</v>
      </c>
      <c r="E26" s="4">
        <v>45</v>
      </c>
      <c r="F26" s="8" t="s">
        <v>9</v>
      </c>
    </row>
    <row r="27" spans="1:6">
      <c r="A27" s="7" t="s">
        <v>75</v>
      </c>
      <c r="B27" s="30" t="s">
        <v>59</v>
      </c>
      <c r="C27" s="5" t="s">
        <v>76</v>
      </c>
      <c r="D27" s="5">
        <v>130</v>
      </c>
      <c r="E27" s="5">
        <v>25</v>
      </c>
      <c r="F27" s="9" t="s">
        <v>13</v>
      </c>
    </row>
    <row r="28" spans="1:6">
      <c r="A28" s="6" t="s">
        <v>77</v>
      </c>
      <c r="B28" s="29" t="s">
        <v>32</v>
      </c>
      <c r="C28" s="4" t="s">
        <v>78</v>
      </c>
      <c r="D28" s="4">
        <v>400</v>
      </c>
      <c r="E28" s="4">
        <v>40</v>
      </c>
      <c r="F28" s="8" t="s">
        <v>17</v>
      </c>
    </row>
    <row r="29" spans="1:6">
      <c r="A29" s="7" t="s">
        <v>48</v>
      </c>
      <c r="B29" s="30" t="s">
        <v>26</v>
      </c>
      <c r="C29" s="5" t="s">
        <v>49</v>
      </c>
      <c r="D29" s="5">
        <v>230</v>
      </c>
      <c r="E29" s="5">
        <v>20</v>
      </c>
      <c r="F29" s="9" t="s">
        <v>9</v>
      </c>
    </row>
    <row r="30" spans="1:6">
      <c r="A30" s="6" t="s">
        <v>79</v>
      </c>
      <c r="B30" s="29" t="s">
        <v>80</v>
      </c>
      <c r="C30" s="4" t="s">
        <v>81</v>
      </c>
      <c r="D30" s="4">
        <v>60</v>
      </c>
      <c r="E30" s="4">
        <v>30</v>
      </c>
      <c r="F30" s="8" t="s">
        <v>13</v>
      </c>
    </row>
    <row r="31" spans="1:6">
      <c r="A31" s="7" t="s">
        <v>82</v>
      </c>
      <c r="B31" s="30" t="s">
        <v>83</v>
      </c>
      <c r="C31" s="5" t="s">
        <v>84</v>
      </c>
      <c r="D31" s="5">
        <v>40</v>
      </c>
      <c r="E31" s="5">
        <v>10</v>
      </c>
      <c r="F31" s="9" t="s">
        <v>17</v>
      </c>
    </row>
    <row r="32" spans="1:6">
      <c r="A32" s="6" t="s">
        <v>85</v>
      </c>
      <c r="B32" s="29" t="s">
        <v>71</v>
      </c>
      <c r="C32" s="4" t="s">
        <v>86</v>
      </c>
      <c r="D32" s="4">
        <v>130</v>
      </c>
      <c r="E32" s="4">
        <v>5</v>
      </c>
      <c r="F32" s="8" t="s">
        <v>9</v>
      </c>
    </row>
    <row r="33" spans="1:6">
      <c r="A33" s="7" t="s">
        <v>87</v>
      </c>
      <c r="B33" s="30" t="s">
        <v>88</v>
      </c>
      <c r="C33" s="5" t="s">
        <v>89</v>
      </c>
      <c r="D33" s="5">
        <v>50</v>
      </c>
      <c r="E33" s="5">
        <v>50</v>
      </c>
      <c r="F33" s="9" t="s">
        <v>13</v>
      </c>
    </row>
    <row r="34" spans="1:6">
      <c r="A34" s="6" t="s">
        <v>40</v>
      </c>
      <c r="B34" s="29" t="s">
        <v>7</v>
      </c>
      <c r="C34" s="4" t="s">
        <v>41</v>
      </c>
      <c r="D34" s="4">
        <v>950</v>
      </c>
      <c r="E34" s="4">
        <v>25</v>
      </c>
      <c r="F34" s="8" t="s">
        <v>9</v>
      </c>
    </row>
    <row r="35" spans="1:6">
      <c r="A35" s="13" t="s">
        <v>90</v>
      </c>
      <c r="B35" s="31" t="s">
        <v>91</v>
      </c>
      <c r="C35" s="14" t="s">
        <v>92</v>
      </c>
      <c r="D35" s="14">
        <v>100</v>
      </c>
      <c r="E35" s="14">
        <v>20</v>
      </c>
      <c r="F35" s="15" t="s">
        <v>53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C75C8-A56B-49EF-A22A-4965947360A7}">
  <dimension ref="A1:L33"/>
  <sheetViews>
    <sheetView workbookViewId="0">
      <selection activeCell="F33" sqref="A1:F33"/>
    </sheetView>
  </sheetViews>
  <sheetFormatPr defaultRowHeight="12.75"/>
  <cols>
    <col min="1" max="1" width="15" bestFit="1" customWidth="1"/>
    <col min="2" max="2" width="18.5703125" bestFit="1" customWidth="1"/>
    <col min="3" max="3" width="16.85546875" bestFit="1" customWidth="1"/>
    <col min="4" max="4" width="13" bestFit="1" customWidth="1"/>
    <col min="5" max="5" width="13.140625" bestFit="1" customWidth="1"/>
    <col min="6" max="6" width="13.7109375" bestFit="1" customWidth="1"/>
    <col min="9" max="12" width="11.140625" customWidth="1"/>
  </cols>
  <sheetData>
    <row r="1" spans="1:12">
      <c r="A1" s="10" t="s">
        <v>0</v>
      </c>
      <c r="B1" s="28" t="s">
        <v>1</v>
      </c>
      <c r="C1" s="11" t="s">
        <v>2</v>
      </c>
      <c r="D1" s="11" t="s">
        <v>3</v>
      </c>
      <c r="E1" s="11" t="s">
        <v>4</v>
      </c>
      <c r="F1" s="12" t="s">
        <v>5</v>
      </c>
    </row>
    <row r="2" spans="1:12">
      <c r="A2" s="6" t="s">
        <v>6</v>
      </c>
      <c r="B2" s="29" t="s">
        <v>7</v>
      </c>
      <c r="C2" s="4" t="s">
        <v>8</v>
      </c>
      <c r="D2" s="4">
        <v>1000</v>
      </c>
      <c r="E2" s="4">
        <v>30</v>
      </c>
      <c r="F2" s="8" t="s">
        <v>9</v>
      </c>
    </row>
    <row r="3" spans="1:12">
      <c r="A3" s="7" t="s">
        <v>10</v>
      </c>
      <c r="B3" s="30" t="s">
        <v>11</v>
      </c>
      <c r="C3" s="5" t="s">
        <v>12</v>
      </c>
      <c r="D3" s="5">
        <v>80</v>
      </c>
      <c r="E3" s="5">
        <v>15</v>
      </c>
      <c r="F3" s="9" t="s">
        <v>13</v>
      </c>
    </row>
    <row r="4" spans="1:12">
      <c r="A4" s="6" t="s">
        <v>14</v>
      </c>
      <c r="B4" s="29" t="s">
        <v>15</v>
      </c>
      <c r="C4" s="4" t="s">
        <v>16</v>
      </c>
      <c r="D4" s="4">
        <v>130</v>
      </c>
      <c r="E4" s="4">
        <v>40</v>
      </c>
      <c r="F4" s="8" t="s">
        <v>17</v>
      </c>
    </row>
    <row r="5" spans="1:12">
      <c r="A5" s="7" t="s">
        <v>18</v>
      </c>
      <c r="B5" s="30" t="s">
        <v>19</v>
      </c>
      <c r="C5" s="5" t="s">
        <v>20</v>
      </c>
      <c r="D5" s="5">
        <v>900</v>
      </c>
      <c r="E5" s="5">
        <v>25</v>
      </c>
      <c r="F5" s="9" t="s">
        <v>9</v>
      </c>
    </row>
    <row r="6" spans="1:12">
      <c r="A6" s="6" t="s">
        <v>21</v>
      </c>
      <c r="B6" s="29" t="s">
        <v>22</v>
      </c>
      <c r="C6" s="4" t="s">
        <v>23</v>
      </c>
      <c r="D6" s="4">
        <v>70</v>
      </c>
      <c r="E6" s="4">
        <v>20</v>
      </c>
      <c r="F6" s="8" t="s">
        <v>24</v>
      </c>
    </row>
    <row r="7" spans="1:12">
      <c r="A7" s="7" t="s">
        <v>25</v>
      </c>
      <c r="B7" s="30" t="s">
        <v>26</v>
      </c>
      <c r="C7" s="5" t="s">
        <v>27</v>
      </c>
      <c r="D7" s="5">
        <v>200</v>
      </c>
      <c r="E7" s="5">
        <v>45</v>
      </c>
      <c r="F7" s="9" t="s">
        <v>9</v>
      </c>
    </row>
    <row r="8" spans="1:12">
      <c r="A8" s="6" t="s">
        <v>28</v>
      </c>
      <c r="B8" s="29" t="s">
        <v>29</v>
      </c>
      <c r="C8" s="4" t="s">
        <v>30</v>
      </c>
      <c r="D8" s="4">
        <v>30</v>
      </c>
      <c r="E8" s="4">
        <v>5</v>
      </c>
      <c r="F8" s="8" t="s">
        <v>13</v>
      </c>
    </row>
    <row r="9" spans="1:12">
      <c r="A9" s="7" t="s">
        <v>31</v>
      </c>
      <c r="B9" s="30" t="s">
        <v>32</v>
      </c>
      <c r="C9" s="5" t="s">
        <v>33</v>
      </c>
      <c r="D9" s="5">
        <v>90</v>
      </c>
      <c r="E9" s="5">
        <v>35</v>
      </c>
      <c r="F9" s="9" t="s">
        <v>17</v>
      </c>
    </row>
    <row r="10" spans="1:12">
      <c r="A10" s="6" t="s">
        <v>34</v>
      </c>
      <c r="B10" s="29" t="s">
        <v>35</v>
      </c>
      <c r="C10" s="4" t="s">
        <v>36</v>
      </c>
      <c r="D10" s="4">
        <v>500</v>
      </c>
      <c r="E10" s="4">
        <v>50</v>
      </c>
      <c r="F10" s="8" t="s">
        <v>9</v>
      </c>
    </row>
    <row r="11" spans="1:12">
      <c r="A11" s="7" t="s">
        <v>37</v>
      </c>
      <c r="B11" s="30" t="s">
        <v>38</v>
      </c>
      <c r="C11" s="5" t="s">
        <v>39</v>
      </c>
      <c r="D11" s="5">
        <v>130</v>
      </c>
      <c r="E11" s="5">
        <v>10</v>
      </c>
      <c r="F11" s="9" t="s">
        <v>24</v>
      </c>
    </row>
    <row r="12" spans="1:12">
      <c r="A12" s="6" t="s">
        <v>40</v>
      </c>
      <c r="B12" s="29" t="s">
        <v>7</v>
      </c>
      <c r="C12" s="4" t="s">
        <v>41</v>
      </c>
      <c r="D12" s="4">
        <v>950</v>
      </c>
      <c r="E12" s="4">
        <v>25</v>
      </c>
      <c r="F12" s="8" t="s">
        <v>9</v>
      </c>
    </row>
    <row r="13" spans="1:12">
      <c r="A13" s="7" t="s">
        <v>42</v>
      </c>
      <c r="B13" s="30" t="s">
        <v>11</v>
      </c>
      <c r="C13" s="5" t="s">
        <v>30</v>
      </c>
      <c r="D13" s="5">
        <v>90</v>
      </c>
      <c r="E13" s="5">
        <v>40</v>
      </c>
      <c r="F13" s="9" t="s">
        <v>13</v>
      </c>
      <c r="J13" s="40"/>
      <c r="K13" s="40"/>
      <c r="L13" s="40"/>
    </row>
    <row r="14" spans="1:12">
      <c r="A14" s="6" t="s">
        <v>43</v>
      </c>
      <c r="B14" s="29" t="s">
        <v>15</v>
      </c>
      <c r="C14" s="4" t="s">
        <v>44</v>
      </c>
      <c r="D14" s="4">
        <v>120</v>
      </c>
      <c r="E14" s="4">
        <v>35</v>
      </c>
      <c r="F14" s="8" t="s">
        <v>17</v>
      </c>
      <c r="J14" s="41"/>
      <c r="K14" s="41"/>
    </row>
    <row r="15" spans="1:12">
      <c r="A15" s="7" t="s">
        <v>45</v>
      </c>
      <c r="B15" s="30" t="s">
        <v>46</v>
      </c>
      <c r="C15" s="5" t="s">
        <v>47</v>
      </c>
      <c r="D15" s="5">
        <v>150</v>
      </c>
      <c r="E15" s="5">
        <v>15</v>
      </c>
      <c r="F15" s="9" t="s">
        <v>9</v>
      </c>
      <c r="J15" s="41"/>
      <c r="K15" s="41"/>
    </row>
    <row r="16" spans="1:12">
      <c r="A16" s="6" t="s">
        <v>48</v>
      </c>
      <c r="B16" s="29" t="s">
        <v>26</v>
      </c>
      <c r="C16" s="4" t="s">
        <v>49</v>
      </c>
      <c r="D16" s="4">
        <v>250</v>
      </c>
      <c r="E16" s="4">
        <v>20</v>
      </c>
      <c r="F16" s="8" t="s">
        <v>9</v>
      </c>
    </row>
    <row r="17" spans="1:10" ht="17.25">
      <c r="A17" s="7" t="s">
        <v>50</v>
      </c>
      <c r="B17" s="30" t="s">
        <v>51</v>
      </c>
      <c r="C17" s="5" t="s">
        <v>52</v>
      </c>
      <c r="D17" s="5">
        <v>50</v>
      </c>
      <c r="E17" s="5">
        <v>35</v>
      </c>
      <c r="F17" s="9" t="s">
        <v>53</v>
      </c>
      <c r="J17" s="42"/>
    </row>
    <row r="18" spans="1:10">
      <c r="A18" s="6" t="s">
        <v>54</v>
      </c>
      <c r="B18" s="29" t="s">
        <v>46</v>
      </c>
      <c r="C18" s="4" t="s">
        <v>55</v>
      </c>
      <c r="D18" s="4">
        <v>160</v>
      </c>
      <c r="E18" s="4">
        <v>15</v>
      </c>
      <c r="F18" s="8" t="s">
        <v>9</v>
      </c>
      <c r="J18" s="18"/>
    </row>
    <row r="19" spans="1:10">
      <c r="A19" s="7" t="s">
        <v>56</v>
      </c>
      <c r="B19" s="30" t="s">
        <v>7</v>
      </c>
      <c r="C19" s="5" t="s">
        <v>57</v>
      </c>
      <c r="D19" s="5">
        <v>980</v>
      </c>
      <c r="E19" s="5">
        <v>10</v>
      </c>
      <c r="F19" s="9" t="s">
        <v>9</v>
      </c>
      <c r="J19" s="39"/>
    </row>
    <row r="20" spans="1:10">
      <c r="A20" s="6" t="s">
        <v>58</v>
      </c>
      <c r="B20" s="29" t="s">
        <v>59</v>
      </c>
      <c r="C20" s="4" t="s">
        <v>60</v>
      </c>
      <c r="D20" s="4">
        <v>150</v>
      </c>
      <c r="E20" s="4">
        <v>15</v>
      </c>
      <c r="F20" s="8" t="s">
        <v>13</v>
      </c>
      <c r="J20" s="39"/>
    </row>
    <row r="21" spans="1:10">
      <c r="A21" s="7" t="s">
        <v>61</v>
      </c>
      <c r="B21" s="30" t="s">
        <v>62</v>
      </c>
      <c r="C21" s="5" t="s">
        <v>63</v>
      </c>
      <c r="D21" s="5">
        <v>200</v>
      </c>
      <c r="E21" s="5">
        <v>10</v>
      </c>
      <c r="F21" s="9" t="s">
        <v>24</v>
      </c>
      <c r="J21" s="39"/>
    </row>
    <row r="22" spans="1:10">
      <c r="A22" s="6" t="s">
        <v>64</v>
      </c>
      <c r="B22" s="29" t="s">
        <v>65</v>
      </c>
      <c r="C22" s="4" t="s">
        <v>66</v>
      </c>
      <c r="D22" s="4">
        <v>700</v>
      </c>
      <c r="E22" s="4">
        <v>50</v>
      </c>
      <c r="F22" s="8" t="s">
        <v>9</v>
      </c>
    </row>
    <row r="23" spans="1:10">
      <c r="A23" s="7" t="s">
        <v>67</v>
      </c>
      <c r="B23" s="30" t="s">
        <v>68</v>
      </c>
      <c r="C23" s="5" t="s">
        <v>69</v>
      </c>
      <c r="D23" s="5">
        <v>80</v>
      </c>
      <c r="E23" s="5">
        <v>20</v>
      </c>
      <c r="F23" s="9" t="s">
        <v>17</v>
      </c>
    </row>
    <row r="24" spans="1:10">
      <c r="A24" s="6" t="s">
        <v>70</v>
      </c>
      <c r="B24" s="29" t="s">
        <v>71</v>
      </c>
      <c r="C24" s="4" t="s">
        <v>72</v>
      </c>
      <c r="D24" s="4">
        <v>150</v>
      </c>
      <c r="E24" s="4">
        <v>30</v>
      </c>
      <c r="F24" s="8" t="s">
        <v>9</v>
      </c>
    </row>
    <row r="25" spans="1:10">
      <c r="A25" s="6" t="s">
        <v>73</v>
      </c>
      <c r="B25" s="29" t="s">
        <v>19</v>
      </c>
      <c r="C25" s="4" t="s">
        <v>74</v>
      </c>
      <c r="D25" s="4">
        <v>800</v>
      </c>
      <c r="E25" s="4">
        <v>45</v>
      </c>
      <c r="F25" s="8" t="s">
        <v>9</v>
      </c>
    </row>
    <row r="26" spans="1:10">
      <c r="A26" s="7" t="s">
        <v>75</v>
      </c>
      <c r="B26" s="30" t="s">
        <v>59</v>
      </c>
      <c r="C26" s="5" t="s">
        <v>76</v>
      </c>
      <c r="D26" s="5">
        <v>130</v>
      </c>
      <c r="E26" s="5">
        <v>25</v>
      </c>
      <c r="F26" s="9" t="s">
        <v>13</v>
      </c>
    </row>
    <row r="27" spans="1:10">
      <c r="A27" s="6" t="s">
        <v>77</v>
      </c>
      <c r="B27" s="29" t="s">
        <v>32</v>
      </c>
      <c r="C27" s="4" t="s">
        <v>78</v>
      </c>
      <c r="D27" s="4">
        <v>400</v>
      </c>
      <c r="E27" s="4">
        <v>40</v>
      </c>
      <c r="F27" s="8" t="s">
        <v>17</v>
      </c>
    </row>
    <row r="28" spans="1:10">
      <c r="A28" s="7" t="s">
        <v>48</v>
      </c>
      <c r="B28" s="30" t="s">
        <v>26</v>
      </c>
      <c r="C28" s="5" t="s">
        <v>49</v>
      </c>
      <c r="D28" s="5">
        <v>230</v>
      </c>
      <c r="E28" s="5">
        <v>20</v>
      </c>
      <c r="F28" s="9" t="s">
        <v>9</v>
      </c>
    </row>
    <row r="29" spans="1:10">
      <c r="A29" s="6" t="s">
        <v>79</v>
      </c>
      <c r="B29" s="29" t="s">
        <v>80</v>
      </c>
      <c r="C29" s="4" t="s">
        <v>81</v>
      </c>
      <c r="D29" s="4">
        <v>60</v>
      </c>
      <c r="E29" s="4">
        <v>30</v>
      </c>
      <c r="F29" s="8" t="s">
        <v>13</v>
      </c>
    </row>
    <row r="30" spans="1:10">
      <c r="A30" s="7" t="s">
        <v>82</v>
      </c>
      <c r="B30" s="30" t="s">
        <v>83</v>
      </c>
      <c r="C30" s="5" t="s">
        <v>84</v>
      </c>
      <c r="D30" s="5">
        <v>40</v>
      </c>
      <c r="E30" s="5">
        <v>10</v>
      </c>
      <c r="F30" s="9" t="s">
        <v>17</v>
      </c>
    </row>
    <row r="31" spans="1:10">
      <c r="A31" s="6" t="s">
        <v>85</v>
      </c>
      <c r="B31" s="29" t="s">
        <v>71</v>
      </c>
      <c r="C31" s="4" t="s">
        <v>86</v>
      </c>
      <c r="D31" s="4">
        <v>130</v>
      </c>
      <c r="E31" s="4">
        <v>5</v>
      </c>
      <c r="F31" s="8" t="s">
        <v>9</v>
      </c>
    </row>
    <row r="32" spans="1:10">
      <c r="A32" s="7" t="s">
        <v>87</v>
      </c>
      <c r="B32" s="30" t="s">
        <v>88</v>
      </c>
      <c r="C32" s="5" t="s">
        <v>89</v>
      </c>
      <c r="D32" s="5">
        <v>50</v>
      </c>
      <c r="E32" s="5">
        <v>50</v>
      </c>
      <c r="F32" s="9" t="s">
        <v>13</v>
      </c>
    </row>
    <row r="33" spans="1:6">
      <c r="A33" s="7" t="s">
        <v>90</v>
      </c>
      <c r="B33" s="30" t="s">
        <v>91</v>
      </c>
      <c r="C33" s="5" t="s">
        <v>92</v>
      </c>
      <c r="D33" s="5">
        <v>100</v>
      </c>
      <c r="E33" s="5">
        <v>20</v>
      </c>
      <c r="F33" s="9" t="s">
        <v>53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35CC7-42A2-432A-85C5-65AEC1EAB478}">
  <dimension ref="A1:H33"/>
  <sheetViews>
    <sheetView workbookViewId="0">
      <selection activeCell="H33" sqref="A1:H33"/>
    </sheetView>
  </sheetViews>
  <sheetFormatPr defaultRowHeight="12.75"/>
  <cols>
    <col min="1" max="1" width="24.42578125" bestFit="1" customWidth="1"/>
    <col min="2" max="2" width="18" bestFit="1" customWidth="1"/>
    <col min="3" max="3" width="18.5703125" bestFit="1" customWidth="1"/>
    <col min="4" max="4" width="16.85546875" bestFit="1" customWidth="1"/>
    <col min="5" max="5" width="21.7109375" bestFit="1" customWidth="1"/>
    <col min="6" max="6" width="13" bestFit="1" customWidth="1"/>
    <col min="7" max="8" width="13.140625" bestFit="1" customWidth="1"/>
    <col min="9" max="9" width="13.7109375" bestFit="1" customWidth="1"/>
  </cols>
  <sheetData>
    <row r="1" spans="1:8">
      <c r="A1" s="32" t="s">
        <v>167</v>
      </c>
      <c r="B1" s="32" t="s">
        <v>166</v>
      </c>
      <c r="C1" s="28" t="s">
        <v>1</v>
      </c>
      <c r="D1" s="11" t="s">
        <v>2</v>
      </c>
      <c r="E1" s="28" t="s">
        <v>134</v>
      </c>
      <c r="F1" s="11" t="s">
        <v>3</v>
      </c>
      <c r="G1" s="11" t="s">
        <v>4</v>
      </c>
      <c r="H1" s="12" t="s">
        <v>5</v>
      </c>
    </row>
    <row r="2" spans="1:8">
      <c r="A2" s="33">
        <v>46050</v>
      </c>
      <c r="B2" s="6" t="s">
        <v>122</v>
      </c>
      <c r="C2" s="29" t="s">
        <v>7</v>
      </c>
      <c r="D2" s="4" t="s">
        <v>8</v>
      </c>
      <c r="E2" s="4" t="str">
        <f>CONCATENATE(Table4107[[#This Row],[Product Name]]," ",Table4107[[#This Row],[Brand Name]])</f>
        <v>Laptop Dell</v>
      </c>
      <c r="F2" s="4">
        <v>1000</v>
      </c>
      <c r="G2" s="4">
        <v>30</v>
      </c>
      <c r="H2" s="8" t="s">
        <v>9</v>
      </c>
    </row>
    <row r="3" spans="1:8">
      <c r="A3" s="34">
        <v>46068</v>
      </c>
      <c r="B3" s="7" t="s">
        <v>122</v>
      </c>
      <c r="C3" s="30" t="s">
        <v>11</v>
      </c>
      <c r="D3" s="5" t="s">
        <v>12</v>
      </c>
      <c r="E3" s="5" t="str">
        <f>CONCATENATE(Table4107[[#This Row],[Product Name]]," ",Table4107[[#This Row],[Brand Name]])</f>
        <v>Sneakers Nike</v>
      </c>
      <c r="F3" s="5">
        <v>80</v>
      </c>
      <c r="G3" s="5">
        <v>15</v>
      </c>
      <c r="H3" s="9" t="s">
        <v>13</v>
      </c>
    </row>
    <row r="4" spans="1:8">
      <c r="A4" s="33">
        <v>46084</v>
      </c>
      <c r="B4" s="6" t="s">
        <v>122</v>
      </c>
      <c r="C4" s="29" t="s">
        <v>15</v>
      </c>
      <c r="D4" s="4" t="s">
        <v>16</v>
      </c>
      <c r="E4" s="4" t="str">
        <f>CONCATENATE(Table4107[[#This Row],[Product Name]]," ",Table4107[[#This Row],[Brand Name]])</f>
        <v>Coffee Maker Keurig</v>
      </c>
      <c r="F4" s="4">
        <v>130</v>
      </c>
      <c r="G4" s="4">
        <v>40</v>
      </c>
      <c r="H4" s="8" t="s">
        <v>17</v>
      </c>
    </row>
    <row r="5" spans="1:8">
      <c r="A5" s="34">
        <v>46123</v>
      </c>
      <c r="B5" s="7" t="s">
        <v>122</v>
      </c>
      <c r="C5" s="30" t="s">
        <v>19</v>
      </c>
      <c r="D5" s="5" t="s">
        <v>20</v>
      </c>
      <c r="E5" s="5" t="str">
        <f>CONCATENATE(Table4107[[#This Row],[Product Name]]," ",Table4107[[#This Row],[Brand Name]])</f>
        <v>Smartphone Samsung</v>
      </c>
      <c r="F5" s="5">
        <v>900</v>
      </c>
      <c r="G5" s="5">
        <v>25</v>
      </c>
      <c r="H5" s="9" t="s">
        <v>9</v>
      </c>
    </row>
    <row r="6" spans="1:8">
      <c r="A6" s="33">
        <v>46164</v>
      </c>
      <c r="B6" s="6" t="s">
        <v>122</v>
      </c>
      <c r="C6" s="29" t="s">
        <v>22</v>
      </c>
      <c r="D6" s="4" t="s">
        <v>23</v>
      </c>
      <c r="E6" s="4" t="str">
        <f>CONCATENATE(Table4107[[#This Row],[Product Name]]," ",Table4107[[#This Row],[Brand Name]])</f>
        <v>Backpack North Face</v>
      </c>
      <c r="F6" s="4">
        <v>70</v>
      </c>
      <c r="G6" s="4">
        <v>20</v>
      </c>
      <c r="H6" s="8" t="s">
        <v>24</v>
      </c>
    </row>
    <row r="7" spans="1:8">
      <c r="A7" s="34">
        <v>46180</v>
      </c>
      <c r="B7" s="7" t="s">
        <v>123</v>
      </c>
      <c r="C7" s="30" t="s">
        <v>26</v>
      </c>
      <c r="D7" s="5" t="s">
        <v>27</v>
      </c>
      <c r="E7" s="5" t="str">
        <f>CONCATENATE(Table4107[[#This Row],[Product Name]]," ",Table4107[[#This Row],[Brand Name]])</f>
        <v>Headphones Sony</v>
      </c>
      <c r="F7" s="5">
        <v>200</v>
      </c>
      <c r="G7" s="5">
        <v>45</v>
      </c>
      <c r="H7" s="9" t="s">
        <v>9</v>
      </c>
    </row>
    <row r="8" spans="1:8">
      <c r="A8" s="33">
        <v>46222</v>
      </c>
      <c r="B8" s="6" t="s">
        <v>123</v>
      </c>
      <c r="C8" s="29" t="s">
        <v>29</v>
      </c>
      <c r="D8" s="4" t="s">
        <v>30</v>
      </c>
      <c r="E8" s="4" t="str">
        <f>CONCATENATE(Table4107[[#This Row],[Product Name]]," ",Table4107[[#This Row],[Brand Name]])</f>
        <v>T-shirt Adidas</v>
      </c>
      <c r="F8" s="4">
        <v>30</v>
      </c>
      <c r="G8" s="4">
        <v>5</v>
      </c>
      <c r="H8" s="8" t="s">
        <v>13</v>
      </c>
    </row>
    <row r="9" spans="1:8">
      <c r="A9" s="34">
        <v>46257</v>
      </c>
      <c r="B9" s="7" t="s">
        <v>123</v>
      </c>
      <c r="C9" s="30" t="s">
        <v>32</v>
      </c>
      <c r="D9" s="5" t="s">
        <v>33</v>
      </c>
      <c r="E9" s="5" t="str">
        <f>CONCATENATE(Table4107[[#This Row],[Product Name]]," ",Table4107[[#This Row],[Brand Name]])</f>
        <v>Blender Ninja</v>
      </c>
      <c r="F9" s="5">
        <v>90</v>
      </c>
      <c r="G9" s="5">
        <v>35</v>
      </c>
      <c r="H9" s="9" t="s">
        <v>17</v>
      </c>
    </row>
    <row r="10" spans="1:8">
      <c r="A10" s="33">
        <v>46270</v>
      </c>
      <c r="B10" s="6" t="s">
        <v>123</v>
      </c>
      <c r="C10" s="29" t="s">
        <v>35</v>
      </c>
      <c r="D10" s="4" t="s">
        <v>36</v>
      </c>
      <c r="E10" s="4" t="str">
        <f>CONCATENATE(Table4107[[#This Row],[Product Name]]," ",Table4107[[#This Row],[Brand Name]])</f>
        <v>Tablet Apple</v>
      </c>
      <c r="F10" s="4">
        <v>500</v>
      </c>
      <c r="G10" s="4">
        <v>50</v>
      </c>
      <c r="H10" s="8" t="s">
        <v>9</v>
      </c>
    </row>
    <row r="11" spans="1:8">
      <c r="A11" s="34">
        <v>46309</v>
      </c>
      <c r="B11" s="7" t="s">
        <v>123</v>
      </c>
      <c r="C11" s="30" t="s">
        <v>38</v>
      </c>
      <c r="D11" s="5" t="s">
        <v>39</v>
      </c>
      <c r="E11" s="5" t="str">
        <f>CONCATENATE(Table4107[[#This Row],[Product Name]]," ",Table4107[[#This Row],[Brand Name]])</f>
        <v>Hiking Boots Timberland</v>
      </c>
      <c r="F11" s="5">
        <v>130</v>
      </c>
      <c r="G11" s="5">
        <v>10</v>
      </c>
      <c r="H11" s="9" t="s">
        <v>24</v>
      </c>
    </row>
    <row r="12" spans="1:8">
      <c r="A12" s="33">
        <v>46190</v>
      </c>
      <c r="B12" s="6" t="s">
        <v>124</v>
      </c>
      <c r="C12" s="29" t="s">
        <v>7</v>
      </c>
      <c r="D12" s="4" t="s">
        <v>41</v>
      </c>
      <c r="E12" s="4" t="str">
        <f>CONCATENATE(Table4107[[#This Row],[Product Name]]," ",Table4107[[#This Row],[Brand Name]])</f>
        <v>Laptop HP</v>
      </c>
      <c r="F12" s="4">
        <v>950</v>
      </c>
      <c r="G12" s="4">
        <v>25</v>
      </c>
      <c r="H12" s="8" t="s">
        <v>9</v>
      </c>
    </row>
    <row r="13" spans="1:8">
      <c r="A13" s="34">
        <v>46351</v>
      </c>
      <c r="B13" s="7" t="s">
        <v>125</v>
      </c>
      <c r="C13" s="30" t="s">
        <v>11</v>
      </c>
      <c r="D13" s="5" t="s">
        <v>30</v>
      </c>
      <c r="E13" s="5" t="str">
        <f>CONCATENATE(Table4107[[#This Row],[Product Name]]," ",Table4107[[#This Row],[Brand Name]])</f>
        <v>Sneakers Adidas</v>
      </c>
      <c r="F13" s="5">
        <v>90</v>
      </c>
      <c r="G13" s="5">
        <v>40</v>
      </c>
      <c r="H13" s="9" t="s">
        <v>13</v>
      </c>
    </row>
    <row r="14" spans="1:8">
      <c r="A14" s="33">
        <v>46364</v>
      </c>
      <c r="B14" s="6" t="s">
        <v>126</v>
      </c>
      <c r="C14" s="29" t="s">
        <v>15</v>
      </c>
      <c r="D14" s="4" t="s">
        <v>44</v>
      </c>
      <c r="E14" s="4" t="str">
        <f>CONCATENATE(Table4107[[#This Row],[Product Name]]," ",Table4107[[#This Row],[Brand Name]])</f>
        <v>Coffee Maker Nespresso</v>
      </c>
      <c r="F14" s="4">
        <v>120</v>
      </c>
      <c r="G14" s="4">
        <v>35</v>
      </c>
      <c r="H14" s="8" t="s">
        <v>17</v>
      </c>
    </row>
    <row r="15" spans="1:8">
      <c r="A15" s="34">
        <v>46071</v>
      </c>
      <c r="B15" s="7" t="s">
        <v>127</v>
      </c>
      <c r="C15" s="30" t="s">
        <v>46</v>
      </c>
      <c r="D15" s="5" t="s">
        <v>47</v>
      </c>
      <c r="E15" s="5" t="str">
        <f>CONCATENATE(Table4107[[#This Row],[Product Name]]," ",Table4107[[#This Row],[Brand Name]])</f>
        <v>Smartwatch Fitbit</v>
      </c>
      <c r="F15" s="5">
        <v>150</v>
      </c>
      <c r="G15" s="5">
        <v>15</v>
      </c>
      <c r="H15" s="9" t="s">
        <v>9</v>
      </c>
    </row>
    <row r="16" spans="1:8">
      <c r="A16" s="33">
        <v>46128</v>
      </c>
      <c r="B16" s="6" t="s">
        <v>128</v>
      </c>
      <c r="C16" s="29" t="s">
        <v>26</v>
      </c>
      <c r="D16" s="4" t="s">
        <v>49</v>
      </c>
      <c r="E16" s="4" t="str">
        <f>CONCATENATE(Table4107[[#This Row],[Product Name]]," ",Table4107[[#This Row],[Brand Name]])</f>
        <v>Headphones Bose</v>
      </c>
      <c r="F16" s="4">
        <v>250</v>
      </c>
      <c r="G16" s="4">
        <v>20</v>
      </c>
      <c r="H16" s="8" t="s">
        <v>9</v>
      </c>
    </row>
    <row r="17" spans="1:8">
      <c r="A17" s="34">
        <v>46255</v>
      </c>
      <c r="B17" s="7" t="s">
        <v>127</v>
      </c>
      <c r="C17" s="30" t="s">
        <v>51</v>
      </c>
      <c r="D17" s="5" t="s">
        <v>52</v>
      </c>
      <c r="E17" s="5" t="str">
        <f>CONCATENATE(Table4107[[#This Row],[Product Name]]," ",Table4107[[#This Row],[Brand Name]])</f>
        <v>Laptop Bag Samsonite</v>
      </c>
      <c r="F17" s="5">
        <v>50</v>
      </c>
      <c r="G17" s="5">
        <v>35</v>
      </c>
      <c r="H17" s="9" t="s">
        <v>53</v>
      </c>
    </row>
    <row r="18" spans="1:8">
      <c r="A18" s="33">
        <v>46254</v>
      </c>
      <c r="B18" s="6" t="s">
        <v>129</v>
      </c>
      <c r="C18" s="29" t="s">
        <v>46</v>
      </c>
      <c r="D18" s="4" t="s">
        <v>55</v>
      </c>
      <c r="E18" s="4" t="str">
        <f>CONCATENATE(Table4107[[#This Row],[Product Name]]," ",Table4107[[#This Row],[Brand Name]])</f>
        <v>Smartwatch Huawei</v>
      </c>
      <c r="F18" s="4">
        <v>160</v>
      </c>
      <c r="G18" s="4">
        <v>15</v>
      </c>
      <c r="H18" s="8" t="s">
        <v>9</v>
      </c>
    </row>
    <row r="19" spans="1:8">
      <c r="A19" s="34">
        <v>46049</v>
      </c>
      <c r="B19" s="7" t="s">
        <v>130</v>
      </c>
      <c r="C19" s="30" t="s">
        <v>7</v>
      </c>
      <c r="D19" s="5" t="s">
        <v>57</v>
      </c>
      <c r="E19" s="5" t="str">
        <f>CONCATENATE(Table4107[[#This Row],[Product Name]]," ",Table4107[[#This Row],[Brand Name]])</f>
        <v>Laptop Asus</v>
      </c>
      <c r="F19" s="5">
        <v>980</v>
      </c>
      <c r="G19" s="5">
        <v>10</v>
      </c>
      <c r="H19" s="9" t="s">
        <v>9</v>
      </c>
    </row>
    <row r="20" spans="1:8">
      <c r="A20" s="33">
        <v>46082</v>
      </c>
      <c r="B20" s="6" t="s">
        <v>123</v>
      </c>
      <c r="C20" s="29" t="s">
        <v>59</v>
      </c>
      <c r="D20" s="4" t="s">
        <v>60</v>
      </c>
      <c r="E20" s="4" t="str">
        <f>CONCATENATE(Table4107[[#This Row],[Product Name]]," ",Table4107[[#This Row],[Brand Name]])</f>
        <v>Sunglasses Oakley</v>
      </c>
      <c r="F20" s="4">
        <v>150</v>
      </c>
      <c r="G20" s="4">
        <v>15</v>
      </c>
      <c r="H20" s="8" t="s">
        <v>13</v>
      </c>
    </row>
    <row r="21" spans="1:8">
      <c r="A21" s="34">
        <v>46248</v>
      </c>
      <c r="B21" s="7" t="s">
        <v>122</v>
      </c>
      <c r="C21" s="30" t="s">
        <v>62</v>
      </c>
      <c r="D21" s="5" t="s">
        <v>63</v>
      </c>
      <c r="E21" s="5" t="str">
        <f>CONCATENATE(Table4107[[#This Row],[Product Name]]," ",Table4107[[#This Row],[Brand Name]])</f>
        <v>Camping Tent Coleman</v>
      </c>
      <c r="F21" s="5">
        <v>200</v>
      </c>
      <c r="G21" s="5">
        <v>10</v>
      </c>
      <c r="H21" s="9" t="s">
        <v>24</v>
      </c>
    </row>
    <row r="22" spans="1:8">
      <c r="A22" s="33">
        <v>46156</v>
      </c>
      <c r="B22" s="6" t="s">
        <v>131</v>
      </c>
      <c r="C22" s="29" t="s">
        <v>65</v>
      </c>
      <c r="D22" s="4" t="s">
        <v>66</v>
      </c>
      <c r="E22" s="4" t="str">
        <f>CONCATENATE(Table4107[[#This Row],[Product Name]]," ",Table4107[[#This Row],[Brand Name]])</f>
        <v>Camera Nikon</v>
      </c>
      <c r="F22" s="4">
        <v>700</v>
      </c>
      <c r="G22" s="4">
        <v>50</v>
      </c>
      <c r="H22" s="8" t="s">
        <v>9</v>
      </c>
    </row>
    <row r="23" spans="1:8">
      <c r="A23" s="34">
        <v>46031</v>
      </c>
      <c r="B23" s="7" t="s">
        <v>127</v>
      </c>
      <c r="C23" s="30" t="s">
        <v>68</v>
      </c>
      <c r="D23" s="5" t="s">
        <v>69</v>
      </c>
      <c r="E23" s="5" t="str">
        <f>CONCATENATE(Table4107[[#This Row],[Product Name]]," ",Table4107[[#This Row],[Brand Name]])</f>
        <v>Microwave Panasonic</v>
      </c>
      <c r="F23" s="5">
        <v>80</v>
      </c>
      <c r="G23" s="5">
        <v>20</v>
      </c>
      <c r="H23" s="9" t="s">
        <v>17</v>
      </c>
    </row>
    <row r="24" spans="1:8">
      <c r="A24" s="33">
        <v>46222</v>
      </c>
      <c r="B24" s="6" t="s">
        <v>132</v>
      </c>
      <c r="C24" s="29" t="s">
        <v>71</v>
      </c>
      <c r="D24" s="4" t="s">
        <v>72</v>
      </c>
      <c r="E24" s="4" t="str">
        <f>CONCATENATE(Table4107[[#This Row],[Product Name]]," ",Table4107[[#This Row],[Brand Name]])</f>
        <v>Fitness Tracker Xiaomi</v>
      </c>
      <c r="F24" s="4">
        <v>150</v>
      </c>
      <c r="G24" s="4">
        <v>30</v>
      </c>
      <c r="H24" s="8" t="s">
        <v>9</v>
      </c>
    </row>
    <row r="25" spans="1:8">
      <c r="A25" s="33">
        <v>46294</v>
      </c>
      <c r="B25" s="6" t="s">
        <v>127</v>
      </c>
      <c r="C25" s="29" t="s">
        <v>19</v>
      </c>
      <c r="D25" s="4" t="s">
        <v>74</v>
      </c>
      <c r="E25" s="4" t="str">
        <f>CONCATENATE(Table4107[[#This Row],[Product Name]]," ",Table4107[[#This Row],[Brand Name]])</f>
        <v>Smartphone Google</v>
      </c>
      <c r="F25" s="4">
        <v>800</v>
      </c>
      <c r="G25" s="4">
        <v>45</v>
      </c>
      <c r="H25" s="8" t="s">
        <v>9</v>
      </c>
    </row>
    <row r="26" spans="1:8">
      <c r="A26" s="34">
        <v>46176</v>
      </c>
      <c r="B26" s="7" t="s">
        <v>127</v>
      </c>
      <c r="C26" s="30" t="s">
        <v>59</v>
      </c>
      <c r="D26" s="5" t="s">
        <v>76</v>
      </c>
      <c r="E26" s="5" t="str">
        <f>CONCATENATE(Table4107[[#This Row],[Product Name]]," ",Table4107[[#This Row],[Brand Name]])</f>
        <v>Sunglasses Ray-Ban</v>
      </c>
      <c r="F26" s="5">
        <v>130</v>
      </c>
      <c r="G26" s="5">
        <v>25</v>
      </c>
      <c r="H26" s="9" t="s">
        <v>13</v>
      </c>
    </row>
    <row r="27" spans="1:8">
      <c r="A27" s="33">
        <v>46214</v>
      </c>
      <c r="B27" s="6" t="s">
        <v>127</v>
      </c>
      <c r="C27" s="29" t="s">
        <v>32</v>
      </c>
      <c r="D27" s="4" t="s">
        <v>78</v>
      </c>
      <c r="E27" s="4" t="str">
        <f>CONCATENATE(Table4107[[#This Row],[Product Name]]," ",Table4107[[#This Row],[Brand Name]])</f>
        <v>Blender Vitamix</v>
      </c>
      <c r="F27" s="4">
        <v>400</v>
      </c>
      <c r="G27" s="4">
        <v>40</v>
      </c>
      <c r="H27" s="8" t="s">
        <v>17</v>
      </c>
    </row>
    <row r="28" spans="1:8">
      <c r="A28" s="34">
        <v>46128</v>
      </c>
      <c r="B28" s="7" t="s">
        <v>128</v>
      </c>
      <c r="C28" s="30" t="s">
        <v>26</v>
      </c>
      <c r="D28" s="5" t="s">
        <v>49</v>
      </c>
      <c r="E28" s="5" t="str">
        <f>CONCATENATE(Table4107[[#This Row],[Product Name]]," ",Table4107[[#This Row],[Brand Name]])</f>
        <v>Headphones Bose</v>
      </c>
      <c r="F28" s="5">
        <v>230</v>
      </c>
      <c r="G28" s="5">
        <v>20</v>
      </c>
      <c r="H28" s="9" t="s">
        <v>9</v>
      </c>
    </row>
    <row r="29" spans="1:8">
      <c r="A29" s="33">
        <v>46088</v>
      </c>
      <c r="B29" s="6" t="s">
        <v>127</v>
      </c>
      <c r="C29" s="29" t="s">
        <v>80</v>
      </c>
      <c r="D29" s="4" t="s">
        <v>81</v>
      </c>
      <c r="E29" s="4" t="str">
        <f>CONCATENATE(Table4107[[#This Row],[Product Name]]," ",Table4107[[#This Row],[Brand Name]])</f>
        <v>Dress Zara</v>
      </c>
      <c r="F29" s="4">
        <v>60</v>
      </c>
      <c r="G29" s="4">
        <v>30</v>
      </c>
      <c r="H29" s="8" t="s">
        <v>13</v>
      </c>
    </row>
    <row r="30" spans="1:8">
      <c r="A30" s="34">
        <v>46125</v>
      </c>
      <c r="B30" s="7" t="s">
        <v>127</v>
      </c>
      <c r="C30" s="30" t="s">
        <v>83</v>
      </c>
      <c r="D30" s="5" t="s">
        <v>84</v>
      </c>
      <c r="E30" s="5" t="str">
        <f>CONCATENATE(Table4107[[#This Row],[Product Name]]," ",Table4107[[#This Row],[Brand Name]])</f>
        <v>Toaster Hamilton</v>
      </c>
      <c r="F30" s="5">
        <v>40</v>
      </c>
      <c r="G30" s="5">
        <v>10</v>
      </c>
      <c r="H30" s="9" t="s">
        <v>17</v>
      </c>
    </row>
    <row r="31" spans="1:8">
      <c r="A31" s="33">
        <v>46166</v>
      </c>
      <c r="B31" s="6" t="s">
        <v>127</v>
      </c>
      <c r="C31" s="29" t="s">
        <v>71</v>
      </c>
      <c r="D31" s="4" t="s">
        <v>86</v>
      </c>
      <c r="E31" s="4" t="str">
        <f>CONCATENATE(Table4107[[#This Row],[Product Name]]," ",Table4107[[#This Row],[Brand Name]])</f>
        <v>Fitness Tracker Garmin</v>
      </c>
      <c r="F31" s="4">
        <v>130</v>
      </c>
      <c r="G31" s="4">
        <v>5</v>
      </c>
      <c r="H31" s="8" t="s">
        <v>9</v>
      </c>
    </row>
    <row r="32" spans="1:8">
      <c r="A32" s="34">
        <v>46358</v>
      </c>
      <c r="B32" s="7" t="s">
        <v>127</v>
      </c>
      <c r="C32" s="30" t="s">
        <v>88</v>
      </c>
      <c r="D32" s="5" t="s">
        <v>89</v>
      </c>
      <c r="E32" s="5" t="str">
        <f>CONCATENATE(Table4107[[#This Row],[Product Name]]," ",Table4107[[#This Row],[Brand Name]])</f>
        <v>Jeans Levi's</v>
      </c>
      <c r="F32" s="5">
        <v>50</v>
      </c>
      <c r="G32" s="5">
        <v>50</v>
      </c>
      <c r="H32" s="9" t="s">
        <v>13</v>
      </c>
    </row>
    <row r="33" spans="1:8">
      <c r="A33" s="34">
        <v>46212</v>
      </c>
      <c r="B33" s="7" t="s">
        <v>133</v>
      </c>
      <c r="C33" s="30" t="s">
        <v>91</v>
      </c>
      <c r="D33" s="5" t="s">
        <v>92</v>
      </c>
      <c r="E33" s="5" t="str">
        <f>CONCATENATE(Table4107[[#This Row],[Product Name]]," ",Table4107[[#This Row],[Brand Name]])</f>
        <v>Watch Casio</v>
      </c>
      <c r="F33" s="5">
        <v>100</v>
      </c>
      <c r="G33" s="5">
        <v>20</v>
      </c>
      <c r="H33" s="9" t="s">
        <v>53</v>
      </c>
    </row>
  </sheetData>
  <phoneticPr fontId="1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B7FA4-47E8-43CE-8E60-A052A99C1930}">
  <dimension ref="A1:H33"/>
  <sheetViews>
    <sheetView workbookViewId="0">
      <selection sqref="A1:H33"/>
    </sheetView>
  </sheetViews>
  <sheetFormatPr defaultRowHeight="12.75"/>
  <cols>
    <col min="1" max="1" width="23.5703125" style="85" bestFit="1" customWidth="1"/>
    <col min="2" max="2" width="18" bestFit="1" customWidth="1"/>
    <col min="3" max="3" width="18.5703125" bestFit="1" customWidth="1"/>
    <col min="4" max="4" width="16.85546875" bestFit="1" customWidth="1"/>
    <col min="5" max="5" width="21.7109375" bestFit="1" customWidth="1"/>
    <col min="6" max="6" width="13" style="38" bestFit="1" customWidth="1"/>
    <col min="7" max="7" width="13.140625" bestFit="1" customWidth="1"/>
    <col min="8" max="8" width="13.7109375" bestFit="1" customWidth="1"/>
  </cols>
  <sheetData>
    <row r="1" spans="1:8">
      <c r="A1" s="82" t="s">
        <v>167</v>
      </c>
      <c r="B1" s="32" t="s">
        <v>166</v>
      </c>
      <c r="C1" s="28" t="s">
        <v>1</v>
      </c>
      <c r="D1" s="11" t="s">
        <v>2</v>
      </c>
      <c r="E1" s="28" t="s">
        <v>134</v>
      </c>
      <c r="F1" s="35" t="s">
        <v>3</v>
      </c>
      <c r="G1" s="11" t="s">
        <v>4</v>
      </c>
      <c r="H1" s="12" t="s">
        <v>5</v>
      </c>
    </row>
    <row r="2" spans="1:8">
      <c r="A2" s="83">
        <v>46050</v>
      </c>
      <c r="B2" s="6" t="s">
        <v>122</v>
      </c>
      <c r="C2" s="29" t="s">
        <v>7</v>
      </c>
      <c r="D2" s="4" t="s">
        <v>8</v>
      </c>
      <c r="E2" s="4" t="str">
        <f>CONCATENATE(Table41079[[#This Row],[Product Name]]," ",Table41079[[#This Row],[Brand Name]])</f>
        <v>Laptop Dell</v>
      </c>
      <c r="F2" s="36">
        <v>1000</v>
      </c>
      <c r="G2" s="4">
        <v>30</v>
      </c>
      <c r="H2" s="8" t="s">
        <v>9</v>
      </c>
    </row>
    <row r="3" spans="1:8">
      <c r="A3" s="84">
        <v>46068</v>
      </c>
      <c r="B3" s="7" t="s">
        <v>122</v>
      </c>
      <c r="C3" s="30" t="s">
        <v>11</v>
      </c>
      <c r="D3" s="5" t="s">
        <v>12</v>
      </c>
      <c r="E3" s="5" t="str">
        <f>CONCATENATE(Table41079[[#This Row],[Product Name]]," ",Table41079[[#This Row],[Brand Name]])</f>
        <v>Sneakers Nike</v>
      </c>
      <c r="F3" s="37">
        <v>80</v>
      </c>
      <c r="G3" s="5">
        <v>15</v>
      </c>
      <c r="H3" s="9" t="s">
        <v>13</v>
      </c>
    </row>
    <row r="4" spans="1:8">
      <c r="A4" s="83">
        <v>46084</v>
      </c>
      <c r="B4" s="6" t="s">
        <v>122</v>
      </c>
      <c r="C4" s="29" t="s">
        <v>15</v>
      </c>
      <c r="D4" s="4" t="s">
        <v>16</v>
      </c>
      <c r="E4" s="4" t="str">
        <f>CONCATENATE(Table41079[[#This Row],[Product Name]]," ",Table41079[[#This Row],[Brand Name]])</f>
        <v>Coffee Maker Keurig</v>
      </c>
      <c r="F4" s="36">
        <v>130</v>
      </c>
      <c r="G4" s="4">
        <v>40</v>
      </c>
      <c r="H4" s="8" t="s">
        <v>17</v>
      </c>
    </row>
    <row r="5" spans="1:8">
      <c r="A5" s="84">
        <v>46123</v>
      </c>
      <c r="B5" s="7" t="s">
        <v>122</v>
      </c>
      <c r="C5" s="30" t="s">
        <v>19</v>
      </c>
      <c r="D5" s="5" t="s">
        <v>20</v>
      </c>
      <c r="E5" s="5" t="str">
        <f>CONCATENATE(Table41079[[#This Row],[Product Name]]," ",Table41079[[#This Row],[Brand Name]])</f>
        <v>Smartphone Samsung</v>
      </c>
      <c r="F5" s="37">
        <v>900</v>
      </c>
      <c r="G5" s="5">
        <v>25</v>
      </c>
      <c r="H5" s="9" t="s">
        <v>9</v>
      </c>
    </row>
    <row r="6" spans="1:8">
      <c r="A6" s="83">
        <v>46164</v>
      </c>
      <c r="B6" s="6" t="s">
        <v>122</v>
      </c>
      <c r="C6" s="29" t="s">
        <v>22</v>
      </c>
      <c r="D6" s="4" t="s">
        <v>23</v>
      </c>
      <c r="E6" s="4" t="str">
        <f>CONCATENATE(Table41079[[#This Row],[Product Name]]," ",Table41079[[#This Row],[Brand Name]])</f>
        <v>Backpack North Face</v>
      </c>
      <c r="F6" s="36">
        <v>70</v>
      </c>
      <c r="G6" s="4">
        <v>20</v>
      </c>
      <c r="H6" s="8" t="s">
        <v>24</v>
      </c>
    </row>
    <row r="7" spans="1:8">
      <c r="A7" s="84">
        <v>46180</v>
      </c>
      <c r="B7" s="7" t="s">
        <v>123</v>
      </c>
      <c r="C7" s="30" t="s">
        <v>26</v>
      </c>
      <c r="D7" s="5" t="s">
        <v>27</v>
      </c>
      <c r="E7" s="5" t="str">
        <f>CONCATENATE(Table41079[[#This Row],[Product Name]]," ",Table41079[[#This Row],[Brand Name]])</f>
        <v>Headphones Sony</v>
      </c>
      <c r="F7" s="37">
        <v>200</v>
      </c>
      <c r="G7" s="5">
        <v>45</v>
      </c>
      <c r="H7" s="9" t="s">
        <v>9</v>
      </c>
    </row>
    <row r="8" spans="1:8">
      <c r="A8" s="83">
        <v>46222</v>
      </c>
      <c r="B8" s="6" t="s">
        <v>123</v>
      </c>
      <c r="C8" s="29" t="s">
        <v>29</v>
      </c>
      <c r="D8" s="4" t="s">
        <v>30</v>
      </c>
      <c r="E8" s="4" t="str">
        <f>CONCATENATE(Table41079[[#This Row],[Product Name]]," ",Table41079[[#This Row],[Brand Name]])</f>
        <v>T-shirt Adidas</v>
      </c>
      <c r="F8" s="36">
        <v>30</v>
      </c>
      <c r="G8" s="4">
        <v>5</v>
      </c>
      <c r="H8" s="8" t="s">
        <v>13</v>
      </c>
    </row>
    <row r="9" spans="1:8">
      <c r="A9" s="84">
        <v>46257</v>
      </c>
      <c r="B9" s="7" t="s">
        <v>123</v>
      </c>
      <c r="C9" s="30" t="s">
        <v>32</v>
      </c>
      <c r="D9" s="5" t="s">
        <v>33</v>
      </c>
      <c r="E9" s="5" t="str">
        <f>CONCATENATE(Table41079[[#This Row],[Product Name]]," ",Table41079[[#This Row],[Brand Name]])</f>
        <v>Blender Ninja</v>
      </c>
      <c r="F9" s="37">
        <v>90</v>
      </c>
      <c r="G9" s="5">
        <v>35</v>
      </c>
      <c r="H9" s="9" t="s">
        <v>17</v>
      </c>
    </row>
    <row r="10" spans="1:8">
      <c r="A10" s="83">
        <v>46270</v>
      </c>
      <c r="B10" s="6" t="s">
        <v>123</v>
      </c>
      <c r="C10" s="29" t="s">
        <v>35</v>
      </c>
      <c r="D10" s="4" t="s">
        <v>36</v>
      </c>
      <c r="E10" s="4" t="str">
        <f>CONCATENATE(Table41079[[#This Row],[Product Name]]," ",Table41079[[#This Row],[Brand Name]])</f>
        <v>Tablet Apple</v>
      </c>
      <c r="F10" s="36">
        <v>500</v>
      </c>
      <c r="G10" s="4">
        <v>50</v>
      </c>
      <c r="H10" s="8" t="s">
        <v>9</v>
      </c>
    </row>
    <row r="11" spans="1:8">
      <c r="A11" s="84">
        <v>46309</v>
      </c>
      <c r="B11" s="7" t="s">
        <v>123</v>
      </c>
      <c r="C11" s="30" t="s">
        <v>38</v>
      </c>
      <c r="D11" s="5" t="s">
        <v>39</v>
      </c>
      <c r="E11" s="5" t="str">
        <f>CONCATENATE(Table41079[[#This Row],[Product Name]]," ",Table41079[[#This Row],[Brand Name]])</f>
        <v>Hiking Boots Timberland</v>
      </c>
      <c r="F11" s="37">
        <v>130</v>
      </c>
      <c r="G11" s="5">
        <v>10</v>
      </c>
      <c r="H11" s="9" t="s">
        <v>24</v>
      </c>
    </row>
    <row r="12" spans="1:8">
      <c r="A12" s="83">
        <v>46190</v>
      </c>
      <c r="B12" s="6" t="s">
        <v>124</v>
      </c>
      <c r="C12" s="29" t="s">
        <v>7</v>
      </c>
      <c r="D12" s="4" t="s">
        <v>41</v>
      </c>
      <c r="E12" s="4" t="str">
        <f>CONCATENATE(Table41079[[#This Row],[Product Name]]," ",Table41079[[#This Row],[Brand Name]])</f>
        <v>Laptop HP</v>
      </c>
      <c r="F12" s="36">
        <v>950</v>
      </c>
      <c r="G12" s="4">
        <v>25</v>
      </c>
      <c r="H12" s="8" t="s">
        <v>9</v>
      </c>
    </row>
    <row r="13" spans="1:8">
      <c r="A13" s="84">
        <v>46351</v>
      </c>
      <c r="B13" s="7" t="s">
        <v>125</v>
      </c>
      <c r="C13" s="30" t="s">
        <v>11</v>
      </c>
      <c r="D13" s="5" t="s">
        <v>30</v>
      </c>
      <c r="E13" s="5" t="str">
        <f>CONCATENATE(Table41079[[#This Row],[Product Name]]," ",Table41079[[#This Row],[Brand Name]])</f>
        <v>Sneakers Adidas</v>
      </c>
      <c r="F13" s="37">
        <v>90</v>
      </c>
      <c r="G13" s="5">
        <v>40</v>
      </c>
      <c r="H13" s="9" t="s">
        <v>13</v>
      </c>
    </row>
    <row r="14" spans="1:8">
      <c r="A14" s="83">
        <v>46364</v>
      </c>
      <c r="B14" s="6" t="s">
        <v>126</v>
      </c>
      <c r="C14" s="29" t="s">
        <v>15</v>
      </c>
      <c r="D14" s="4" t="s">
        <v>44</v>
      </c>
      <c r="E14" s="4" t="str">
        <f>CONCATENATE(Table41079[[#This Row],[Product Name]]," ",Table41079[[#This Row],[Brand Name]])</f>
        <v>Coffee Maker Nespresso</v>
      </c>
      <c r="F14" s="36">
        <v>120</v>
      </c>
      <c r="G14" s="4">
        <v>35</v>
      </c>
      <c r="H14" s="8" t="s">
        <v>17</v>
      </c>
    </row>
    <row r="15" spans="1:8">
      <c r="A15" s="84">
        <v>46071</v>
      </c>
      <c r="B15" s="7" t="s">
        <v>127</v>
      </c>
      <c r="C15" s="30" t="s">
        <v>46</v>
      </c>
      <c r="D15" s="5" t="s">
        <v>47</v>
      </c>
      <c r="E15" s="5" t="str">
        <f>CONCATENATE(Table41079[[#This Row],[Product Name]]," ",Table41079[[#This Row],[Brand Name]])</f>
        <v>Smartwatch Fitbit</v>
      </c>
      <c r="F15" s="37">
        <v>150</v>
      </c>
      <c r="G15" s="5">
        <v>15</v>
      </c>
      <c r="H15" s="9" t="s">
        <v>9</v>
      </c>
    </row>
    <row r="16" spans="1:8">
      <c r="A16" s="83">
        <v>46128</v>
      </c>
      <c r="B16" s="6" t="s">
        <v>128</v>
      </c>
      <c r="C16" s="29" t="s">
        <v>26</v>
      </c>
      <c r="D16" s="4" t="s">
        <v>49</v>
      </c>
      <c r="E16" s="4" t="str">
        <f>CONCATENATE(Table41079[[#This Row],[Product Name]]," ",Table41079[[#This Row],[Brand Name]])</f>
        <v>Headphones Bose</v>
      </c>
      <c r="F16" s="36">
        <v>250</v>
      </c>
      <c r="G16" s="4">
        <v>20</v>
      </c>
      <c r="H16" s="8" t="s">
        <v>9</v>
      </c>
    </row>
    <row r="17" spans="1:8">
      <c r="A17" s="84">
        <v>46255</v>
      </c>
      <c r="B17" s="7" t="s">
        <v>127</v>
      </c>
      <c r="C17" s="30" t="s">
        <v>51</v>
      </c>
      <c r="D17" s="5" t="s">
        <v>52</v>
      </c>
      <c r="E17" s="5" t="str">
        <f>CONCATENATE(Table41079[[#This Row],[Product Name]]," ",Table41079[[#This Row],[Brand Name]])</f>
        <v>Laptop Bag Samsonite</v>
      </c>
      <c r="F17" s="37">
        <v>50</v>
      </c>
      <c r="G17" s="5">
        <v>35</v>
      </c>
      <c r="H17" s="9" t="s">
        <v>53</v>
      </c>
    </row>
    <row r="18" spans="1:8">
      <c r="A18" s="83">
        <v>46254</v>
      </c>
      <c r="B18" s="6" t="s">
        <v>129</v>
      </c>
      <c r="C18" s="29" t="s">
        <v>46</v>
      </c>
      <c r="D18" s="4" t="s">
        <v>55</v>
      </c>
      <c r="E18" s="4" t="str">
        <f>CONCATENATE(Table41079[[#This Row],[Product Name]]," ",Table41079[[#This Row],[Brand Name]])</f>
        <v>Smartwatch Huawei</v>
      </c>
      <c r="F18" s="36">
        <v>160</v>
      </c>
      <c r="G18" s="4">
        <v>15</v>
      </c>
      <c r="H18" s="8" t="s">
        <v>9</v>
      </c>
    </row>
    <row r="19" spans="1:8">
      <c r="A19" s="84">
        <v>46049</v>
      </c>
      <c r="B19" s="7" t="s">
        <v>130</v>
      </c>
      <c r="C19" s="30" t="s">
        <v>7</v>
      </c>
      <c r="D19" s="5" t="s">
        <v>57</v>
      </c>
      <c r="E19" s="5" t="str">
        <f>CONCATENATE(Table41079[[#This Row],[Product Name]]," ",Table41079[[#This Row],[Brand Name]])</f>
        <v>Laptop Asus</v>
      </c>
      <c r="F19" s="37">
        <v>980</v>
      </c>
      <c r="G19" s="5">
        <v>10</v>
      </c>
      <c r="H19" s="9" t="s">
        <v>9</v>
      </c>
    </row>
    <row r="20" spans="1:8">
      <c r="A20" s="83">
        <v>46082</v>
      </c>
      <c r="B20" s="6" t="s">
        <v>123</v>
      </c>
      <c r="C20" s="29" t="s">
        <v>59</v>
      </c>
      <c r="D20" s="4" t="s">
        <v>60</v>
      </c>
      <c r="E20" s="4" t="str">
        <f>CONCATENATE(Table41079[[#This Row],[Product Name]]," ",Table41079[[#This Row],[Brand Name]])</f>
        <v>Sunglasses Oakley</v>
      </c>
      <c r="F20" s="36">
        <v>150</v>
      </c>
      <c r="G20" s="4">
        <v>15</v>
      </c>
      <c r="H20" s="8" t="s">
        <v>13</v>
      </c>
    </row>
    <row r="21" spans="1:8">
      <c r="A21" s="84">
        <v>46248</v>
      </c>
      <c r="B21" s="7" t="s">
        <v>122</v>
      </c>
      <c r="C21" s="30" t="s">
        <v>62</v>
      </c>
      <c r="D21" s="5" t="s">
        <v>63</v>
      </c>
      <c r="E21" s="5" t="str">
        <f>CONCATENATE(Table41079[[#This Row],[Product Name]]," ",Table41079[[#This Row],[Brand Name]])</f>
        <v>Camping Tent Coleman</v>
      </c>
      <c r="F21" s="37">
        <v>200</v>
      </c>
      <c r="G21" s="5">
        <v>10</v>
      </c>
      <c r="H21" s="9" t="s">
        <v>24</v>
      </c>
    </row>
    <row r="22" spans="1:8">
      <c r="A22" s="83">
        <v>46156</v>
      </c>
      <c r="B22" s="6" t="s">
        <v>131</v>
      </c>
      <c r="C22" s="29" t="s">
        <v>65</v>
      </c>
      <c r="D22" s="4" t="s">
        <v>66</v>
      </c>
      <c r="E22" s="4" t="str">
        <f>CONCATENATE(Table41079[[#This Row],[Product Name]]," ",Table41079[[#This Row],[Brand Name]])</f>
        <v>Camera Nikon</v>
      </c>
      <c r="F22" s="36">
        <v>700</v>
      </c>
      <c r="G22" s="4">
        <v>50</v>
      </c>
      <c r="H22" s="8" t="s">
        <v>9</v>
      </c>
    </row>
    <row r="23" spans="1:8">
      <c r="A23" s="84">
        <v>46031</v>
      </c>
      <c r="B23" s="7" t="s">
        <v>127</v>
      </c>
      <c r="C23" s="30" t="s">
        <v>68</v>
      </c>
      <c r="D23" s="5" t="s">
        <v>69</v>
      </c>
      <c r="E23" s="5" t="str">
        <f>CONCATENATE(Table41079[[#This Row],[Product Name]]," ",Table41079[[#This Row],[Brand Name]])</f>
        <v>Microwave Panasonic</v>
      </c>
      <c r="F23" s="37">
        <v>80</v>
      </c>
      <c r="G23" s="5">
        <v>20</v>
      </c>
      <c r="H23" s="9" t="s">
        <v>17</v>
      </c>
    </row>
    <row r="24" spans="1:8">
      <c r="A24" s="83">
        <v>46222</v>
      </c>
      <c r="B24" s="6" t="s">
        <v>132</v>
      </c>
      <c r="C24" s="29" t="s">
        <v>71</v>
      </c>
      <c r="D24" s="4" t="s">
        <v>72</v>
      </c>
      <c r="E24" s="4" t="str">
        <f>CONCATENATE(Table41079[[#This Row],[Product Name]]," ",Table41079[[#This Row],[Brand Name]])</f>
        <v>Fitness Tracker Xiaomi</v>
      </c>
      <c r="F24" s="36">
        <v>150</v>
      </c>
      <c r="G24" s="4">
        <v>30</v>
      </c>
      <c r="H24" s="8" t="s">
        <v>9</v>
      </c>
    </row>
    <row r="25" spans="1:8">
      <c r="A25" s="83">
        <v>46294</v>
      </c>
      <c r="B25" s="6" t="s">
        <v>127</v>
      </c>
      <c r="C25" s="29" t="s">
        <v>19</v>
      </c>
      <c r="D25" s="4" t="s">
        <v>74</v>
      </c>
      <c r="E25" s="4" t="str">
        <f>CONCATENATE(Table41079[[#This Row],[Product Name]]," ",Table41079[[#This Row],[Brand Name]])</f>
        <v>Smartphone Google</v>
      </c>
      <c r="F25" s="36">
        <v>800</v>
      </c>
      <c r="G25" s="4">
        <v>45</v>
      </c>
      <c r="H25" s="8" t="s">
        <v>9</v>
      </c>
    </row>
    <row r="26" spans="1:8">
      <c r="A26" s="84">
        <v>46176</v>
      </c>
      <c r="B26" s="7" t="s">
        <v>127</v>
      </c>
      <c r="C26" s="30" t="s">
        <v>59</v>
      </c>
      <c r="D26" s="5" t="s">
        <v>76</v>
      </c>
      <c r="E26" s="5" t="str">
        <f>CONCATENATE(Table41079[[#This Row],[Product Name]]," ",Table41079[[#This Row],[Brand Name]])</f>
        <v>Sunglasses Ray-Ban</v>
      </c>
      <c r="F26" s="37">
        <v>130</v>
      </c>
      <c r="G26" s="5">
        <v>25</v>
      </c>
      <c r="H26" s="9" t="s">
        <v>13</v>
      </c>
    </row>
    <row r="27" spans="1:8">
      <c r="A27" s="83">
        <v>46214</v>
      </c>
      <c r="B27" s="6" t="s">
        <v>127</v>
      </c>
      <c r="C27" s="29" t="s">
        <v>32</v>
      </c>
      <c r="D27" s="4" t="s">
        <v>78</v>
      </c>
      <c r="E27" s="4" t="str">
        <f>CONCATENATE(Table41079[[#This Row],[Product Name]]," ",Table41079[[#This Row],[Brand Name]])</f>
        <v>Blender Vitamix</v>
      </c>
      <c r="F27" s="36">
        <v>400</v>
      </c>
      <c r="G27" s="4">
        <v>40</v>
      </c>
      <c r="H27" s="8" t="s">
        <v>17</v>
      </c>
    </row>
    <row r="28" spans="1:8">
      <c r="A28" s="84">
        <v>46128</v>
      </c>
      <c r="B28" s="7" t="s">
        <v>128</v>
      </c>
      <c r="C28" s="30" t="s">
        <v>26</v>
      </c>
      <c r="D28" s="5" t="s">
        <v>49</v>
      </c>
      <c r="E28" s="5" t="str">
        <f>CONCATENATE(Table41079[[#This Row],[Product Name]]," ",Table41079[[#This Row],[Brand Name]])</f>
        <v>Headphones Bose</v>
      </c>
      <c r="F28" s="37">
        <v>230</v>
      </c>
      <c r="G28" s="5">
        <v>20</v>
      </c>
      <c r="H28" s="9" t="s">
        <v>9</v>
      </c>
    </row>
    <row r="29" spans="1:8">
      <c r="A29" s="83">
        <v>46088</v>
      </c>
      <c r="B29" s="6" t="s">
        <v>127</v>
      </c>
      <c r="C29" s="29" t="s">
        <v>80</v>
      </c>
      <c r="D29" s="4" t="s">
        <v>81</v>
      </c>
      <c r="E29" s="4" t="str">
        <f>CONCATENATE(Table41079[[#This Row],[Product Name]]," ",Table41079[[#This Row],[Brand Name]])</f>
        <v>Dress Zara</v>
      </c>
      <c r="F29" s="36">
        <v>60</v>
      </c>
      <c r="G29" s="4">
        <v>30</v>
      </c>
      <c r="H29" s="8" t="s">
        <v>13</v>
      </c>
    </row>
    <row r="30" spans="1:8">
      <c r="A30" s="84">
        <v>46125</v>
      </c>
      <c r="B30" s="7" t="s">
        <v>127</v>
      </c>
      <c r="C30" s="30" t="s">
        <v>83</v>
      </c>
      <c r="D30" s="5" t="s">
        <v>84</v>
      </c>
      <c r="E30" s="5" t="str">
        <f>CONCATENATE(Table41079[[#This Row],[Product Name]]," ",Table41079[[#This Row],[Brand Name]])</f>
        <v>Toaster Hamilton</v>
      </c>
      <c r="F30" s="37">
        <v>40</v>
      </c>
      <c r="G30" s="5">
        <v>10</v>
      </c>
      <c r="H30" s="9" t="s">
        <v>17</v>
      </c>
    </row>
    <row r="31" spans="1:8">
      <c r="A31" s="83">
        <v>46166</v>
      </c>
      <c r="B31" s="6" t="s">
        <v>127</v>
      </c>
      <c r="C31" s="29" t="s">
        <v>71</v>
      </c>
      <c r="D31" s="4" t="s">
        <v>86</v>
      </c>
      <c r="E31" s="4" t="str">
        <f>CONCATENATE(Table41079[[#This Row],[Product Name]]," ",Table41079[[#This Row],[Brand Name]])</f>
        <v>Fitness Tracker Garmin</v>
      </c>
      <c r="F31" s="36">
        <v>130</v>
      </c>
      <c r="G31" s="4">
        <v>5</v>
      </c>
      <c r="H31" s="8" t="s">
        <v>9</v>
      </c>
    </row>
    <row r="32" spans="1:8">
      <c r="A32" s="84">
        <v>46358</v>
      </c>
      <c r="B32" s="7" t="s">
        <v>127</v>
      </c>
      <c r="C32" s="30" t="s">
        <v>88</v>
      </c>
      <c r="D32" s="5" t="s">
        <v>89</v>
      </c>
      <c r="E32" s="5" t="str">
        <f>CONCATENATE(Table41079[[#This Row],[Product Name]]," ",Table41079[[#This Row],[Brand Name]])</f>
        <v>Jeans Levi's</v>
      </c>
      <c r="F32" s="37">
        <v>50</v>
      </c>
      <c r="G32" s="5">
        <v>50</v>
      </c>
      <c r="H32" s="9" t="s">
        <v>13</v>
      </c>
    </row>
    <row r="33" spans="1:8">
      <c r="A33" s="84">
        <v>46212</v>
      </c>
      <c r="B33" s="7" t="s">
        <v>133</v>
      </c>
      <c r="C33" s="30" t="s">
        <v>91</v>
      </c>
      <c r="D33" s="5" t="s">
        <v>92</v>
      </c>
      <c r="E33" s="5" t="str">
        <f>CONCATENATE(Table41079[[#This Row],[Product Name]]," ",Table41079[[#This Row],[Brand Name]])</f>
        <v>Watch Casio</v>
      </c>
      <c r="F33" s="37">
        <v>100</v>
      </c>
      <c r="G33" s="5">
        <v>20</v>
      </c>
      <c r="H33" s="9" t="s">
        <v>53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28001-23FE-496F-8BD6-536D23920FCF}">
  <dimension ref="A1:H33"/>
  <sheetViews>
    <sheetView workbookViewId="0">
      <selection activeCell="H33" sqref="A1:H33"/>
    </sheetView>
  </sheetViews>
  <sheetFormatPr defaultRowHeight="12.75"/>
  <cols>
    <col min="1" max="1" width="21.28515625" bestFit="1" customWidth="1"/>
    <col min="2" max="2" width="18" bestFit="1" customWidth="1"/>
    <col min="3" max="3" width="18.5703125" bestFit="1" customWidth="1"/>
    <col min="4" max="4" width="16.85546875" bestFit="1" customWidth="1"/>
    <col min="5" max="5" width="21.7109375" bestFit="1" customWidth="1"/>
    <col min="6" max="6" width="13" bestFit="1" customWidth="1"/>
    <col min="7" max="7" width="13.140625" bestFit="1" customWidth="1"/>
    <col min="8" max="8" width="13.7109375" bestFit="1" customWidth="1"/>
  </cols>
  <sheetData>
    <row r="1" spans="1:8">
      <c r="A1" s="82" t="s">
        <v>167</v>
      </c>
      <c r="B1" s="32" t="s">
        <v>166</v>
      </c>
      <c r="C1" s="28" t="s">
        <v>1</v>
      </c>
      <c r="D1" s="11" t="s">
        <v>2</v>
      </c>
      <c r="E1" s="28" t="s">
        <v>134</v>
      </c>
      <c r="F1" s="35" t="s">
        <v>3</v>
      </c>
      <c r="G1" s="11" t="s">
        <v>4</v>
      </c>
      <c r="H1" s="12" t="s">
        <v>5</v>
      </c>
    </row>
    <row r="2" spans="1:8">
      <c r="A2" s="83">
        <v>46050</v>
      </c>
      <c r="B2" s="6" t="s">
        <v>122</v>
      </c>
      <c r="C2" s="29" t="s">
        <v>7</v>
      </c>
      <c r="D2" s="4" t="s">
        <v>8</v>
      </c>
      <c r="E2" s="4" t="str">
        <f>CONCATENATE(Table4107912[[#This Row],[Product Name]]," ",Table4107912[[#This Row],[Brand Name]])</f>
        <v>Laptop Dell</v>
      </c>
      <c r="F2" s="36">
        <v>1000</v>
      </c>
      <c r="G2" s="4">
        <v>30</v>
      </c>
      <c r="H2" s="8" t="s">
        <v>9</v>
      </c>
    </row>
    <row r="3" spans="1:8">
      <c r="A3" s="84">
        <v>46068</v>
      </c>
      <c r="B3" s="7" t="s">
        <v>122</v>
      </c>
      <c r="C3" s="30" t="s">
        <v>11</v>
      </c>
      <c r="D3" s="5" t="s">
        <v>12</v>
      </c>
      <c r="E3" s="5" t="str">
        <f>CONCATENATE(Table4107912[[#This Row],[Product Name]]," ",Table4107912[[#This Row],[Brand Name]])</f>
        <v>Sneakers Nike</v>
      </c>
      <c r="F3" s="37">
        <v>80</v>
      </c>
      <c r="G3" s="5">
        <v>15</v>
      </c>
      <c r="H3" s="9" t="s">
        <v>13</v>
      </c>
    </row>
    <row r="4" spans="1:8">
      <c r="A4" s="83">
        <v>46084</v>
      </c>
      <c r="B4" s="6" t="s">
        <v>122</v>
      </c>
      <c r="C4" s="29" t="s">
        <v>15</v>
      </c>
      <c r="D4" s="4" t="s">
        <v>16</v>
      </c>
      <c r="E4" s="4" t="str">
        <f>CONCATENATE(Table4107912[[#This Row],[Product Name]]," ",Table4107912[[#This Row],[Brand Name]])</f>
        <v>Coffee Maker Keurig</v>
      </c>
      <c r="F4" s="36">
        <v>130</v>
      </c>
      <c r="G4" s="4">
        <v>40</v>
      </c>
      <c r="H4" s="8" t="s">
        <v>17</v>
      </c>
    </row>
    <row r="5" spans="1:8">
      <c r="A5" s="84">
        <v>46123</v>
      </c>
      <c r="B5" s="7" t="s">
        <v>122</v>
      </c>
      <c r="C5" s="30" t="s">
        <v>19</v>
      </c>
      <c r="D5" s="5" t="s">
        <v>20</v>
      </c>
      <c r="E5" s="5" t="str">
        <f>CONCATENATE(Table4107912[[#This Row],[Product Name]]," ",Table4107912[[#This Row],[Brand Name]])</f>
        <v>Smartphone Samsung</v>
      </c>
      <c r="F5" s="37">
        <v>900</v>
      </c>
      <c r="G5" s="5">
        <v>25</v>
      </c>
      <c r="H5" s="9" t="s">
        <v>9</v>
      </c>
    </row>
    <row r="6" spans="1:8">
      <c r="A6" s="83">
        <v>46164</v>
      </c>
      <c r="B6" s="6" t="s">
        <v>122</v>
      </c>
      <c r="C6" s="29" t="s">
        <v>22</v>
      </c>
      <c r="D6" s="4" t="s">
        <v>23</v>
      </c>
      <c r="E6" s="4" t="str">
        <f>CONCATENATE(Table4107912[[#This Row],[Product Name]]," ",Table4107912[[#This Row],[Brand Name]])</f>
        <v>Backpack North Face</v>
      </c>
      <c r="F6" s="36">
        <v>70</v>
      </c>
      <c r="G6" s="4">
        <v>20</v>
      </c>
      <c r="H6" s="8" t="s">
        <v>24</v>
      </c>
    </row>
    <row r="7" spans="1:8">
      <c r="A7" s="84">
        <v>46180</v>
      </c>
      <c r="B7" s="7" t="s">
        <v>123</v>
      </c>
      <c r="C7" s="30" t="s">
        <v>26</v>
      </c>
      <c r="D7" s="5" t="s">
        <v>27</v>
      </c>
      <c r="E7" s="5" t="str">
        <f>CONCATENATE(Table4107912[[#This Row],[Product Name]]," ",Table4107912[[#This Row],[Brand Name]])</f>
        <v>Headphones Sony</v>
      </c>
      <c r="F7" s="37">
        <v>200</v>
      </c>
      <c r="G7" s="5">
        <v>45</v>
      </c>
      <c r="H7" s="9" t="s">
        <v>9</v>
      </c>
    </row>
    <row r="8" spans="1:8">
      <c r="A8" s="83">
        <v>46222</v>
      </c>
      <c r="B8" s="6" t="s">
        <v>123</v>
      </c>
      <c r="C8" s="29" t="s">
        <v>29</v>
      </c>
      <c r="D8" s="4" t="s">
        <v>30</v>
      </c>
      <c r="E8" s="4" t="str">
        <f>CONCATENATE(Table4107912[[#This Row],[Product Name]]," ",Table4107912[[#This Row],[Brand Name]])</f>
        <v>T-shirt Adidas</v>
      </c>
      <c r="F8" s="36">
        <v>30</v>
      </c>
      <c r="G8" s="4">
        <v>5</v>
      </c>
      <c r="H8" s="8" t="s">
        <v>13</v>
      </c>
    </row>
    <row r="9" spans="1:8">
      <c r="A9" s="84">
        <v>46257</v>
      </c>
      <c r="B9" s="7" t="s">
        <v>123</v>
      </c>
      <c r="C9" s="30" t="s">
        <v>32</v>
      </c>
      <c r="D9" s="5" t="s">
        <v>33</v>
      </c>
      <c r="E9" s="5" t="str">
        <f>CONCATENATE(Table4107912[[#This Row],[Product Name]]," ",Table4107912[[#This Row],[Brand Name]])</f>
        <v>Blender Ninja</v>
      </c>
      <c r="F9" s="37">
        <v>90</v>
      </c>
      <c r="G9" s="5">
        <v>35</v>
      </c>
      <c r="H9" s="9" t="s">
        <v>17</v>
      </c>
    </row>
    <row r="10" spans="1:8">
      <c r="A10" s="83">
        <v>46270</v>
      </c>
      <c r="B10" s="6" t="s">
        <v>123</v>
      </c>
      <c r="C10" s="29" t="s">
        <v>35</v>
      </c>
      <c r="D10" s="4" t="s">
        <v>36</v>
      </c>
      <c r="E10" s="4" t="str">
        <f>CONCATENATE(Table4107912[[#This Row],[Product Name]]," ",Table4107912[[#This Row],[Brand Name]])</f>
        <v>Tablet Apple</v>
      </c>
      <c r="F10" s="36">
        <v>500</v>
      </c>
      <c r="G10" s="4">
        <v>50</v>
      </c>
      <c r="H10" s="8" t="s">
        <v>9</v>
      </c>
    </row>
    <row r="11" spans="1:8">
      <c r="A11" s="84">
        <v>46309</v>
      </c>
      <c r="B11" s="7" t="s">
        <v>123</v>
      </c>
      <c r="C11" s="30" t="s">
        <v>38</v>
      </c>
      <c r="D11" s="5" t="s">
        <v>39</v>
      </c>
      <c r="E11" s="5" t="str">
        <f>CONCATENATE(Table4107912[[#This Row],[Product Name]]," ",Table4107912[[#This Row],[Brand Name]])</f>
        <v>Hiking Boots Timberland</v>
      </c>
      <c r="F11" s="37">
        <v>130</v>
      </c>
      <c r="G11" s="5">
        <v>10</v>
      </c>
      <c r="H11" s="9" t="s">
        <v>24</v>
      </c>
    </row>
    <row r="12" spans="1:8">
      <c r="A12" s="83">
        <v>46190</v>
      </c>
      <c r="B12" s="6" t="s">
        <v>124</v>
      </c>
      <c r="C12" s="29" t="s">
        <v>7</v>
      </c>
      <c r="D12" s="4" t="s">
        <v>41</v>
      </c>
      <c r="E12" s="4" t="str">
        <f>CONCATENATE(Table4107912[[#This Row],[Product Name]]," ",Table4107912[[#This Row],[Brand Name]])</f>
        <v>Laptop HP</v>
      </c>
      <c r="F12" s="36">
        <v>950</v>
      </c>
      <c r="G12" s="4">
        <v>25</v>
      </c>
      <c r="H12" s="8" t="s">
        <v>9</v>
      </c>
    </row>
    <row r="13" spans="1:8">
      <c r="A13" s="84">
        <v>46351</v>
      </c>
      <c r="B13" s="7" t="s">
        <v>125</v>
      </c>
      <c r="C13" s="30" t="s">
        <v>11</v>
      </c>
      <c r="D13" s="5" t="s">
        <v>30</v>
      </c>
      <c r="E13" s="5" t="str">
        <f>CONCATENATE(Table4107912[[#This Row],[Product Name]]," ",Table4107912[[#This Row],[Brand Name]])</f>
        <v>Sneakers Adidas</v>
      </c>
      <c r="F13" s="37">
        <v>90</v>
      </c>
      <c r="G13" s="5">
        <v>40</v>
      </c>
      <c r="H13" s="9" t="s">
        <v>13</v>
      </c>
    </row>
    <row r="14" spans="1:8">
      <c r="A14" s="83">
        <v>46364</v>
      </c>
      <c r="B14" s="6" t="s">
        <v>126</v>
      </c>
      <c r="C14" s="29" t="s">
        <v>15</v>
      </c>
      <c r="D14" s="4" t="s">
        <v>44</v>
      </c>
      <c r="E14" s="4" t="str">
        <f>CONCATENATE(Table4107912[[#This Row],[Product Name]]," ",Table4107912[[#This Row],[Brand Name]])</f>
        <v>Coffee Maker Nespresso</v>
      </c>
      <c r="F14" s="36">
        <v>120</v>
      </c>
      <c r="G14" s="4">
        <v>35</v>
      </c>
      <c r="H14" s="8" t="s">
        <v>17</v>
      </c>
    </row>
    <row r="15" spans="1:8">
      <c r="A15" s="84">
        <v>46071</v>
      </c>
      <c r="B15" s="7" t="s">
        <v>127</v>
      </c>
      <c r="C15" s="30" t="s">
        <v>46</v>
      </c>
      <c r="D15" s="5" t="s">
        <v>47</v>
      </c>
      <c r="E15" s="5" t="str">
        <f>CONCATENATE(Table4107912[[#This Row],[Product Name]]," ",Table4107912[[#This Row],[Brand Name]])</f>
        <v>Smartwatch Fitbit</v>
      </c>
      <c r="F15" s="37">
        <v>150</v>
      </c>
      <c r="G15" s="5">
        <v>15</v>
      </c>
      <c r="H15" s="9" t="s">
        <v>9</v>
      </c>
    </row>
    <row r="16" spans="1:8">
      <c r="A16" s="83">
        <v>46128</v>
      </c>
      <c r="B16" s="6" t="s">
        <v>128</v>
      </c>
      <c r="C16" s="29" t="s">
        <v>26</v>
      </c>
      <c r="D16" s="4" t="s">
        <v>49</v>
      </c>
      <c r="E16" s="4" t="str">
        <f>CONCATENATE(Table4107912[[#This Row],[Product Name]]," ",Table4107912[[#This Row],[Brand Name]])</f>
        <v>Headphones Bose</v>
      </c>
      <c r="F16" s="36">
        <v>250</v>
      </c>
      <c r="G16" s="4">
        <v>20</v>
      </c>
      <c r="H16" s="8" t="s">
        <v>9</v>
      </c>
    </row>
    <row r="17" spans="1:8">
      <c r="A17" s="84">
        <v>46255</v>
      </c>
      <c r="B17" s="7" t="s">
        <v>127</v>
      </c>
      <c r="C17" s="30" t="s">
        <v>51</v>
      </c>
      <c r="D17" s="5" t="s">
        <v>52</v>
      </c>
      <c r="E17" s="5" t="str">
        <f>CONCATENATE(Table4107912[[#This Row],[Product Name]]," ",Table4107912[[#This Row],[Brand Name]])</f>
        <v>Laptop Bag Samsonite</v>
      </c>
      <c r="F17" s="37">
        <v>50</v>
      </c>
      <c r="G17" s="5">
        <v>35</v>
      </c>
      <c r="H17" s="9" t="s">
        <v>53</v>
      </c>
    </row>
    <row r="18" spans="1:8">
      <c r="A18" s="83">
        <v>46254</v>
      </c>
      <c r="B18" s="6" t="s">
        <v>129</v>
      </c>
      <c r="C18" s="29" t="s">
        <v>46</v>
      </c>
      <c r="D18" s="4" t="s">
        <v>55</v>
      </c>
      <c r="E18" s="4" t="str">
        <f>CONCATENATE(Table4107912[[#This Row],[Product Name]]," ",Table4107912[[#This Row],[Brand Name]])</f>
        <v>Smartwatch Huawei</v>
      </c>
      <c r="F18" s="36">
        <v>160</v>
      </c>
      <c r="G18" s="4">
        <v>15</v>
      </c>
      <c r="H18" s="8" t="s">
        <v>9</v>
      </c>
    </row>
    <row r="19" spans="1:8">
      <c r="A19" s="84">
        <v>46049</v>
      </c>
      <c r="B19" s="7" t="s">
        <v>130</v>
      </c>
      <c r="C19" s="30" t="s">
        <v>7</v>
      </c>
      <c r="D19" s="5" t="s">
        <v>57</v>
      </c>
      <c r="E19" s="5" t="str">
        <f>CONCATENATE(Table4107912[[#This Row],[Product Name]]," ",Table4107912[[#This Row],[Brand Name]])</f>
        <v>Laptop Asus</v>
      </c>
      <c r="F19" s="37">
        <v>980</v>
      </c>
      <c r="G19" s="5">
        <v>10</v>
      </c>
      <c r="H19" s="9" t="s">
        <v>9</v>
      </c>
    </row>
    <row r="20" spans="1:8">
      <c r="A20" s="83">
        <v>46082</v>
      </c>
      <c r="B20" s="6" t="s">
        <v>123</v>
      </c>
      <c r="C20" s="29" t="s">
        <v>59</v>
      </c>
      <c r="D20" s="4" t="s">
        <v>60</v>
      </c>
      <c r="E20" s="4" t="str">
        <f>CONCATENATE(Table4107912[[#This Row],[Product Name]]," ",Table4107912[[#This Row],[Brand Name]])</f>
        <v>Sunglasses Oakley</v>
      </c>
      <c r="F20" s="36">
        <v>150</v>
      </c>
      <c r="G20" s="4">
        <v>15</v>
      </c>
      <c r="H20" s="8" t="s">
        <v>13</v>
      </c>
    </row>
    <row r="21" spans="1:8">
      <c r="A21" s="84">
        <v>46248</v>
      </c>
      <c r="B21" s="7" t="s">
        <v>122</v>
      </c>
      <c r="C21" s="30" t="s">
        <v>62</v>
      </c>
      <c r="D21" s="5" t="s">
        <v>63</v>
      </c>
      <c r="E21" s="5" t="str">
        <f>CONCATENATE(Table4107912[[#This Row],[Product Name]]," ",Table4107912[[#This Row],[Brand Name]])</f>
        <v>Camping Tent Coleman</v>
      </c>
      <c r="F21" s="37">
        <v>200</v>
      </c>
      <c r="G21" s="5">
        <v>10</v>
      </c>
      <c r="H21" s="9" t="s">
        <v>24</v>
      </c>
    </row>
    <row r="22" spans="1:8">
      <c r="A22" s="83">
        <v>46156</v>
      </c>
      <c r="B22" s="6" t="s">
        <v>131</v>
      </c>
      <c r="C22" s="29" t="s">
        <v>65</v>
      </c>
      <c r="D22" s="4" t="s">
        <v>66</v>
      </c>
      <c r="E22" s="4" t="str">
        <f>CONCATENATE(Table4107912[[#This Row],[Product Name]]," ",Table4107912[[#This Row],[Brand Name]])</f>
        <v>Camera Nikon</v>
      </c>
      <c r="F22" s="36">
        <v>700</v>
      </c>
      <c r="G22" s="4">
        <v>50</v>
      </c>
      <c r="H22" s="8" t="s">
        <v>9</v>
      </c>
    </row>
    <row r="23" spans="1:8">
      <c r="A23" s="84">
        <v>46031</v>
      </c>
      <c r="B23" s="7" t="s">
        <v>127</v>
      </c>
      <c r="C23" s="30" t="s">
        <v>68</v>
      </c>
      <c r="D23" s="5" t="s">
        <v>69</v>
      </c>
      <c r="E23" s="5" t="str">
        <f>CONCATENATE(Table4107912[[#This Row],[Product Name]]," ",Table4107912[[#This Row],[Brand Name]])</f>
        <v>Microwave Panasonic</v>
      </c>
      <c r="F23" s="37">
        <v>80</v>
      </c>
      <c r="G23" s="5">
        <v>20</v>
      </c>
      <c r="H23" s="9" t="s">
        <v>17</v>
      </c>
    </row>
    <row r="24" spans="1:8">
      <c r="A24" s="83">
        <v>46222</v>
      </c>
      <c r="B24" s="6" t="s">
        <v>132</v>
      </c>
      <c r="C24" s="29" t="s">
        <v>71</v>
      </c>
      <c r="D24" s="4" t="s">
        <v>72</v>
      </c>
      <c r="E24" s="4" t="str">
        <f>CONCATENATE(Table4107912[[#This Row],[Product Name]]," ",Table4107912[[#This Row],[Brand Name]])</f>
        <v>Fitness Tracker Xiaomi</v>
      </c>
      <c r="F24" s="36">
        <v>150</v>
      </c>
      <c r="G24" s="4">
        <v>30</v>
      </c>
      <c r="H24" s="8" t="s">
        <v>9</v>
      </c>
    </row>
    <row r="25" spans="1:8">
      <c r="A25" s="83">
        <v>46294</v>
      </c>
      <c r="B25" s="6" t="s">
        <v>127</v>
      </c>
      <c r="C25" s="29" t="s">
        <v>19</v>
      </c>
      <c r="D25" s="4" t="s">
        <v>74</v>
      </c>
      <c r="E25" s="4" t="str">
        <f>CONCATENATE(Table4107912[[#This Row],[Product Name]]," ",Table4107912[[#This Row],[Brand Name]])</f>
        <v>Smartphone Google</v>
      </c>
      <c r="F25" s="36">
        <v>800</v>
      </c>
      <c r="G25" s="4">
        <v>45</v>
      </c>
      <c r="H25" s="8" t="s">
        <v>9</v>
      </c>
    </row>
    <row r="26" spans="1:8">
      <c r="A26" s="84">
        <v>46176</v>
      </c>
      <c r="B26" s="7" t="s">
        <v>127</v>
      </c>
      <c r="C26" s="30" t="s">
        <v>59</v>
      </c>
      <c r="D26" s="5" t="s">
        <v>76</v>
      </c>
      <c r="E26" s="5" t="str">
        <f>CONCATENATE(Table4107912[[#This Row],[Product Name]]," ",Table4107912[[#This Row],[Brand Name]])</f>
        <v>Sunglasses Ray-Ban</v>
      </c>
      <c r="F26" s="37">
        <v>130</v>
      </c>
      <c r="G26" s="5">
        <v>25</v>
      </c>
      <c r="H26" s="9" t="s">
        <v>13</v>
      </c>
    </row>
    <row r="27" spans="1:8">
      <c r="A27" s="83">
        <v>46214</v>
      </c>
      <c r="B27" s="6" t="s">
        <v>127</v>
      </c>
      <c r="C27" s="29" t="s">
        <v>32</v>
      </c>
      <c r="D27" s="4" t="s">
        <v>78</v>
      </c>
      <c r="E27" s="4" t="str">
        <f>CONCATENATE(Table4107912[[#This Row],[Product Name]]," ",Table4107912[[#This Row],[Brand Name]])</f>
        <v>Blender Vitamix</v>
      </c>
      <c r="F27" s="36">
        <v>400</v>
      </c>
      <c r="G27" s="4">
        <v>40</v>
      </c>
      <c r="H27" s="8" t="s">
        <v>17</v>
      </c>
    </row>
    <row r="28" spans="1:8">
      <c r="A28" s="84">
        <v>46128</v>
      </c>
      <c r="B28" s="7" t="s">
        <v>128</v>
      </c>
      <c r="C28" s="30" t="s">
        <v>26</v>
      </c>
      <c r="D28" s="5" t="s">
        <v>49</v>
      </c>
      <c r="E28" s="5" t="str">
        <f>CONCATENATE(Table4107912[[#This Row],[Product Name]]," ",Table4107912[[#This Row],[Brand Name]])</f>
        <v>Headphones Bose</v>
      </c>
      <c r="F28" s="37">
        <v>230</v>
      </c>
      <c r="G28" s="5">
        <v>20</v>
      </c>
      <c r="H28" s="9" t="s">
        <v>9</v>
      </c>
    </row>
    <row r="29" spans="1:8">
      <c r="A29" s="83">
        <v>46088</v>
      </c>
      <c r="B29" s="6" t="s">
        <v>127</v>
      </c>
      <c r="C29" s="29" t="s">
        <v>80</v>
      </c>
      <c r="D29" s="4" t="s">
        <v>81</v>
      </c>
      <c r="E29" s="4" t="str">
        <f>CONCATENATE(Table4107912[[#This Row],[Product Name]]," ",Table4107912[[#This Row],[Brand Name]])</f>
        <v>Dress Zara</v>
      </c>
      <c r="F29" s="36">
        <v>60</v>
      </c>
      <c r="G29" s="4">
        <v>30</v>
      </c>
      <c r="H29" s="8" t="s">
        <v>13</v>
      </c>
    </row>
    <row r="30" spans="1:8">
      <c r="A30" s="84">
        <v>46125</v>
      </c>
      <c r="B30" s="7" t="s">
        <v>127</v>
      </c>
      <c r="C30" s="30" t="s">
        <v>83</v>
      </c>
      <c r="D30" s="5" t="s">
        <v>84</v>
      </c>
      <c r="E30" s="5" t="str">
        <f>CONCATENATE(Table4107912[[#This Row],[Product Name]]," ",Table4107912[[#This Row],[Brand Name]])</f>
        <v>Toaster Hamilton</v>
      </c>
      <c r="F30" s="37">
        <v>40</v>
      </c>
      <c r="G30" s="5">
        <v>10</v>
      </c>
      <c r="H30" s="9" t="s">
        <v>17</v>
      </c>
    </row>
    <row r="31" spans="1:8">
      <c r="A31" s="83">
        <v>46166</v>
      </c>
      <c r="B31" s="6" t="s">
        <v>127</v>
      </c>
      <c r="C31" s="29" t="s">
        <v>71</v>
      </c>
      <c r="D31" s="4" t="s">
        <v>86</v>
      </c>
      <c r="E31" s="4" t="str">
        <f>CONCATENATE(Table4107912[[#This Row],[Product Name]]," ",Table4107912[[#This Row],[Brand Name]])</f>
        <v>Fitness Tracker Garmin</v>
      </c>
      <c r="F31" s="36">
        <v>130</v>
      </c>
      <c r="G31" s="4">
        <v>5</v>
      </c>
      <c r="H31" s="8" t="s">
        <v>9</v>
      </c>
    </row>
    <row r="32" spans="1:8">
      <c r="A32" s="84">
        <v>46358</v>
      </c>
      <c r="B32" s="7" t="s">
        <v>127</v>
      </c>
      <c r="C32" s="30" t="s">
        <v>88</v>
      </c>
      <c r="D32" s="5" t="s">
        <v>89</v>
      </c>
      <c r="E32" s="5" t="str">
        <f>CONCATENATE(Table4107912[[#This Row],[Product Name]]," ",Table4107912[[#This Row],[Brand Name]])</f>
        <v>Jeans Levi's</v>
      </c>
      <c r="F32" s="37">
        <v>50</v>
      </c>
      <c r="G32" s="5">
        <v>50</v>
      </c>
      <c r="H32" s="9" t="s">
        <v>13</v>
      </c>
    </row>
    <row r="33" spans="1:8">
      <c r="A33" s="84">
        <v>46212</v>
      </c>
      <c r="B33" s="7" t="s">
        <v>133</v>
      </c>
      <c r="C33" s="30" t="s">
        <v>91</v>
      </c>
      <c r="D33" s="5" t="s">
        <v>92</v>
      </c>
      <c r="E33" s="5" t="str">
        <f>CONCATENATE(Table4107912[[#This Row],[Product Name]]," ",Table4107912[[#This Row],[Brand Name]])</f>
        <v>Watch Casio</v>
      </c>
      <c r="F33" s="37">
        <v>100</v>
      </c>
      <c r="G33" s="5">
        <v>20</v>
      </c>
      <c r="H33" s="9" t="s">
        <v>53</v>
      </c>
    </row>
  </sheetData>
  <conditionalFormatting sqref="F1:F33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{46E0A3C0-BF1A-4782-8F55-051B726174B8}</x14:id>
        </ext>
      </extLst>
    </cfRule>
  </conditionalFormatting>
  <conditionalFormatting sqref="H1:H33">
    <cfRule type="cellIs" dxfId="1" priority="1" operator="equal">
      <formula>"Electronics"</formula>
    </cfRule>
    <cfRule type="cellIs" priority="3" operator="equal">
      <formula>"Electronics"</formula>
    </cfRule>
  </conditionalFormatting>
  <conditionalFormatting sqref="H1:H1048576">
    <cfRule type="colorScale" priority="2">
      <colorScale>
        <cfvo type="min"/>
        <cfvo type="max"/>
        <color theme="7" tint="0.39997558519241921"/>
        <color rgb="FFFFEF9C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E0A3C0-BF1A-4782-8F55-051B726174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F1:F33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1BBE3-2F88-4C38-8DFB-8D2E38CC5AEA}">
  <dimension ref="A1:L33"/>
  <sheetViews>
    <sheetView workbookViewId="0">
      <selection activeCell="L15" sqref="L15"/>
    </sheetView>
  </sheetViews>
  <sheetFormatPr defaultRowHeight="12.75"/>
  <cols>
    <col min="1" max="1" width="21.28515625" bestFit="1" customWidth="1"/>
    <col min="2" max="2" width="18" bestFit="1" customWidth="1"/>
    <col min="3" max="3" width="18.5703125" bestFit="1" customWidth="1"/>
    <col min="4" max="4" width="16.85546875" bestFit="1" customWidth="1"/>
    <col min="5" max="5" width="21.7109375" bestFit="1" customWidth="1"/>
    <col min="6" max="6" width="13" bestFit="1" customWidth="1"/>
    <col min="7" max="7" width="13.140625" bestFit="1" customWidth="1"/>
    <col min="8" max="8" width="13.7109375" bestFit="1" customWidth="1"/>
  </cols>
  <sheetData>
    <row r="1" spans="1:12">
      <c r="A1" s="82" t="s">
        <v>167</v>
      </c>
      <c r="B1" s="32" t="s">
        <v>166</v>
      </c>
      <c r="C1" s="28" t="s">
        <v>1</v>
      </c>
      <c r="D1" s="11" t="s">
        <v>2</v>
      </c>
      <c r="E1" s="28" t="s">
        <v>134</v>
      </c>
      <c r="F1" s="35" t="s">
        <v>3</v>
      </c>
      <c r="G1" s="11" t="s">
        <v>4</v>
      </c>
      <c r="H1" s="12" t="s">
        <v>5</v>
      </c>
    </row>
    <row r="2" spans="1:12">
      <c r="A2" s="83">
        <v>46050</v>
      </c>
      <c r="B2" s="6" t="s">
        <v>122</v>
      </c>
      <c r="C2" s="29" t="s">
        <v>7</v>
      </c>
      <c r="D2" s="4" t="s">
        <v>8</v>
      </c>
      <c r="E2" s="4" t="str">
        <f>CONCATENATE(Table410791216[[#This Row],[Product Name]]," ",Table410791216[[#This Row],[Brand Name]])</f>
        <v>Laptop Dell</v>
      </c>
      <c r="F2" s="36">
        <v>1000</v>
      </c>
      <c r="G2" s="4">
        <v>30</v>
      </c>
      <c r="H2" s="8" t="s">
        <v>9</v>
      </c>
    </row>
    <row r="3" spans="1:12">
      <c r="A3" s="84">
        <v>46068</v>
      </c>
      <c r="B3" s="7" t="s">
        <v>122</v>
      </c>
      <c r="C3" s="30" t="s">
        <v>11</v>
      </c>
      <c r="D3" s="5" t="s">
        <v>12</v>
      </c>
      <c r="E3" s="5" t="str">
        <f>CONCATENATE(Table410791216[[#This Row],[Product Name]]," ",Table410791216[[#This Row],[Brand Name]])</f>
        <v>Sneakers Nike</v>
      </c>
      <c r="F3" s="37">
        <v>80</v>
      </c>
      <c r="G3" s="5">
        <v>15</v>
      </c>
      <c r="H3" s="9" t="s">
        <v>13</v>
      </c>
    </row>
    <row r="4" spans="1:12">
      <c r="A4" s="83">
        <v>46084</v>
      </c>
      <c r="B4" s="6" t="s">
        <v>122</v>
      </c>
      <c r="C4" s="29" t="s">
        <v>15</v>
      </c>
      <c r="D4" s="4" t="s">
        <v>16</v>
      </c>
      <c r="E4" s="4" t="str">
        <f>CONCATENATE(Table410791216[[#This Row],[Product Name]]," ",Table410791216[[#This Row],[Brand Name]])</f>
        <v>Coffee Maker Keurig</v>
      </c>
      <c r="F4" s="36">
        <v>130</v>
      </c>
      <c r="G4" s="4">
        <v>40</v>
      </c>
      <c r="H4" s="8" t="s">
        <v>17</v>
      </c>
    </row>
    <row r="5" spans="1:12">
      <c r="A5" s="84">
        <v>46123</v>
      </c>
      <c r="B5" s="7" t="s">
        <v>122</v>
      </c>
      <c r="C5" s="30" t="s">
        <v>19</v>
      </c>
      <c r="D5" s="5" t="s">
        <v>20</v>
      </c>
      <c r="E5" s="5" t="str">
        <f>CONCATENATE(Table410791216[[#This Row],[Product Name]]," ",Table410791216[[#This Row],[Brand Name]])</f>
        <v>Smartphone Samsung</v>
      </c>
      <c r="F5" s="37">
        <v>900</v>
      </c>
      <c r="G5" s="5">
        <v>25</v>
      </c>
      <c r="H5" s="9" t="s">
        <v>9</v>
      </c>
    </row>
    <row r="6" spans="1:12">
      <c r="A6" s="83">
        <v>46164</v>
      </c>
      <c r="B6" s="6" t="s">
        <v>122</v>
      </c>
      <c r="C6" s="29" t="s">
        <v>22</v>
      </c>
      <c r="D6" s="4" t="s">
        <v>23</v>
      </c>
      <c r="E6" s="4" t="str">
        <f>CONCATENATE(Table410791216[[#This Row],[Product Name]]," ",Table410791216[[#This Row],[Brand Name]])</f>
        <v>Backpack North Face</v>
      </c>
      <c r="F6" s="36">
        <v>70</v>
      </c>
      <c r="G6" s="4">
        <v>20</v>
      </c>
      <c r="H6" s="8" t="s">
        <v>24</v>
      </c>
    </row>
    <row r="7" spans="1:12">
      <c r="A7" s="84">
        <v>46180</v>
      </c>
      <c r="B7" s="7" t="s">
        <v>123</v>
      </c>
      <c r="C7" s="30" t="s">
        <v>26</v>
      </c>
      <c r="D7" s="5" t="s">
        <v>27</v>
      </c>
      <c r="E7" s="5" t="str">
        <f>CONCATENATE(Table410791216[[#This Row],[Product Name]]," ",Table410791216[[#This Row],[Brand Name]])</f>
        <v>Headphones Sony</v>
      </c>
      <c r="F7" s="37">
        <v>200</v>
      </c>
      <c r="G7" s="5">
        <v>45</v>
      </c>
      <c r="H7" s="9" t="s">
        <v>9</v>
      </c>
    </row>
    <row r="8" spans="1:12">
      <c r="A8" s="83">
        <v>46222</v>
      </c>
      <c r="B8" s="6" t="s">
        <v>123</v>
      </c>
      <c r="C8" s="29" t="s">
        <v>29</v>
      </c>
      <c r="D8" s="4" t="s">
        <v>30</v>
      </c>
      <c r="E8" s="4" t="str">
        <f>CONCATENATE(Table410791216[[#This Row],[Product Name]]," ",Table410791216[[#This Row],[Brand Name]])</f>
        <v>T-shirt Adidas</v>
      </c>
      <c r="F8" s="36">
        <v>30</v>
      </c>
      <c r="G8" s="4">
        <v>5</v>
      </c>
      <c r="H8" s="8" t="s">
        <v>13</v>
      </c>
    </row>
    <row r="9" spans="1:12">
      <c r="A9" s="84">
        <v>46257</v>
      </c>
      <c r="B9" s="7" t="s">
        <v>123</v>
      </c>
      <c r="C9" s="30" t="s">
        <v>32</v>
      </c>
      <c r="D9" s="5" t="s">
        <v>33</v>
      </c>
      <c r="E9" s="5" t="str">
        <f>CONCATENATE(Table410791216[[#This Row],[Product Name]]," ",Table410791216[[#This Row],[Brand Name]])</f>
        <v>Blender Ninja</v>
      </c>
      <c r="F9" s="37">
        <v>90</v>
      </c>
      <c r="G9" s="5">
        <v>35</v>
      </c>
      <c r="H9" s="9" t="s">
        <v>17</v>
      </c>
    </row>
    <row r="10" spans="1:12">
      <c r="A10" s="83">
        <v>46270</v>
      </c>
      <c r="B10" s="6" t="s">
        <v>123</v>
      </c>
      <c r="C10" s="29" t="s">
        <v>35</v>
      </c>
      <c r="D10" s="4" t="s">
        <v>36</v>
      </c>
      <c r="E10" s="4" t="str">
        <f>CONCATENATE(Table410791216[[#This Row],[Product Name]]," ",Table410791216[[#This Row],[Brand Name]])</f>
        <v>Tablet Apple</v>
      </c>
      <c r="F10" s="36">
        <v>500</v>
      </c>
      <c r="G10" s="4">
        <v>50</v>
      </c>
      <c r="H10" s="8" t="s">
        <v>9</v>
      </c>
      <c r="L10" s="18"/>
    </row>
    <row r="11" spans="1:12">
      <c r="A11" s="84">
        <v>46309</v>
      </c>
      <c r="B11" s="7" t="s">
        <v>123</v>
      </c>
      <c r="C11" s="30" t="s">
        <v>38</v>
      </c>
      <c r="D11" s="5" t="s">
        <v>39</v>
      </c>
      <c r="E11" s="5" t="str">
        <f>CONCATENATE(Table410791216[[#This Row],[Product Name]]," ",Table410791216[[#This Row],[Brand Name]])</f>
        <v>Hiking Boots Timberland</v>
      </c>
      <c r="F11" s="37">
        <v>130</v>
      </c>
      <c r="G11" s="5">
        <v>10</v>
      </c>
      <c r="H11" s="9" t="s">
        <v>24</v>
      </c>
    </row>
    <row r="12" spans="1:12">
      <c r="A12" s="83">
        <v>46190</v>
      </c>
      <c r="B12" s="6" t="s">
        <v>124</v>
      </c>
      <c r="C12" s="29" t="s">
        <v>7</v>
      </c>
      <c r="D12" s="4" t="s">
        <v>41</v>
      </c>
      <c r="E12" s="4" t="str">
        <f>CONCATENATE(Table410791216[[#This Row],[Product Name]]," ",Table410791216[[#This Row],[Brand Name]])</f>
        <v>Laptop HP</v>
      </c>
      <c r="F12" s="36">
        <v>950</v>
      </c>
      <c r="G12" s="4">
        <v>25</v>
      </c>
      <c r="H12" s="8" t="s">
        <v>9</v>
      </c>
    </row>
    <row r="13" spans="1:12">
      <c r="A13" s="84">
        <v>46351</v>
      </c>
      <c r="B13" s="7" t="s">
        <v>125</v>
      </c>
      <c r="C13" s="30" t="s">
        <v>11</v>
      </c>
      <c r="D13" s="5" t="s">
        <v>30</v>
      </c>
      <c r="E13" s="5" t="str">
        <f>CONCATENATE(Table410791216[[#This Row],[Product Name]]," ",Table410791216[[#This Row],[Brand Name]])</f>
        <v>Sneakers Adidas</v>
      </c>
      <c r="F13" s="37">
        <v>90</v>
      </c>
      <c r="G13" s="5">
        <v>40</v>
      </c>
      <c r="H13" s="9" t="s">
        <v>13</v>
      </c>
    </row>
    <row r="14" spans="1:12">
      <c r="A14" s="83">
        <v>46364</v>
      </c>
      <c r="B14" s="6" t="s">
        <v>126</v>
      </c>
      <c r="C14" s="29" t="s">
        <v>15</v>
      </c>
      <c r="D14" s="4" t="s">
        <v>44</v>
      </c>
      <c r="E14" s="4" t="str">
        <f>CONCATENATE(Table410791216[[#This Row],[Product Name]]," ",Table410791216[[#This Row],[Brand Name]])</f>
        <v>Coffee Maker Nespresso</v>
      </c>
      <c r="F14" s="36">
        <v>120</v>
      </c>
      <c r="G14" s="4">
        <v>35</v>
      </c>
      <c r="H14" s="8" t="s">
        <v>17</v>
      </c>
      <c r="L14" s="18"/>
    </row>
    <row r="15" spans="1:12">
      <c r="A15" s="84">
        <v>46071</v>
      </c>
      <c r="B15" s="7" t="s">
        <v>127</v>
      </c>
      <c r="C15" s="30" t="s">
        <v>46</v>
      </c>
      <c r="D15" s="5" t="s">
        <v>47</v>
      </c>
      <c r="E15" s="5" t="str">
        <f>CONCATENATE(Table410791216[[#This Row],[Product Name]]," ",Table410791216[[#This Row],[Brand Name]])</f>
        <v>Smartwatch Fitbit</v>
      </c>
      <c r="F15" s="37">
        <v>150</v>
      </c>
      <c r="G15" s="5">
        <v>15</v>
      </c>
      <c r="H15" s="9" t="s">
        <v>9</v>
      </c>
    </row>
    <row r="16" spans="1:12">
      <c r="A16" s="83">
        <v>46128</v>
      </c>
      <c r="B16" s="6" t="s">
        <v>128</v>
      </c>
      <c r="C16" s="29" t="s">
        <v>26</v>
      </c>
      <c r="D16" s="4" t="s">
        <v>49</v>
      </c>
      <c r="E16" s="4" t="str">
        <f>CONCATENATE(Table410791216[[#This Row],[Product Name]]," ",Table410791216[[#This Row],[Brand Name]])</f>
        <v>Headphones Bose</v>
      </c>
      <c r="F16" s="36">
        <v>250</v>
      </c>
      <c r="G16" s="4">
        <v>20</v>
      </c>
      <c r="H16" s="8" t="s">
        <v>9</v>
      </c>
    </row>
    <row r="17" spans="1:8">
      <c r="A17" s="84">
        <v>46255</v>
      </c>
      <c r="B17" s="7" t="s">
        <v>127</v>
      </c>
      <c r="C17" s="30" t="s">
        <v>51</v>
      </c>
      <c r="D17" s="5" t="s">
        <v>52</v>
      </c>
      <c r="E17" s="5" t="str">
        <f>CONCATENATE(Table410791216[[#This Row],[Product Name]]," ",Table410791216[[#This Row],[Brand Name]])</f>
        <v>Laptop Bag Samsonite</v>
      </c>
      <c r="F17" s="37">
        <v>50</v>
      </c>
      <c r="G17" s="5">
        <v>35</v>
      </c>
      <c r="H17" s="9" t="s">
        <v>53</v>
      </c>
    </row>
    <row r="18" spans="1:8">
      <c r="A18" s="83">
        <v>46254</v>
      </c>
      <c r="B18" s="6" t="s">
        <v>129</v>
      </c>
      <c r="C18" s="29" t="s">
        <v>46</v>
      </c>
      <c r="D18" s="4" t="s">
        <v>55</v>
      </c>
      <c r="E18" s="4" t="str">
        <f>CONCATENATE(Table410791216[[#This Row],[Product Name]]," ",Table410791216[[#This Row],[Brand Name]])</f>
        <v>Smartwatch Huawei</v>
      </c>
      <c r="F18" s="36">
        <v>160</v>
      </c>
      <c r="G18" s="4">
        <v>15</v>
      </c>
      <c r="H18" s="8" t="s">
        <v>9</v>
      </c>
    </row>
    <row r="19" spans="1:8">
      <c r="A19" s="84">
        <v>46049</v>
      </c>
      <c r="B19" s="7" t="s">
        <v>130</v>
      </c>
      <c r="C19" s="30" t="s">
        <v>7</v>
      </c>
      <c r="D19" s="5" t="s">
        <v>57</v>
      </c>
      <c r="E19" s="5" t="str">
        <f>CONCATENATE(Table410791216[[#This Row],[Product Name]]," ",Table410791216[[#This Row],[Brand Name]])</f>
        <v>Laptop Asus</v>
      </c>
      <c r="F19" s="37">
        <v>980</v>
      </c>
      <c r="G19" s="5">
        <v>10</v>
      </c>
      <c r="H19" s="9" t="s">
        <v>9</v>
      </c>
    </row>
    <row r="20" spans="1:8">
      <c r="A20" s="83">
        <v>46082</v>
      </c>
      <c r="B20" s="6" t="s">
        <v>123</v>
      </c>
      <c r="C20" s="29" t="s">
        <v>59</v>
      </c>
      <c r="D20" s="4" t="s">
        <v>60</v>
      </c>
      <c r="E20" s="4" t="str">
        <f>CONCATENATE(Table410791216[[#This Row],[Product Name]]," ",Table410791216[[#This Row],[Brand Name]])</f>
        <v>Sunglasses Oakley</v>
      </c>
      <c r="F20" s="36">
        <v>150</v>
      </c>
      <c r="G20" s="4">
        <v>15</v>
      </c>
      <c r="H20" s="8" t="s">
        <v>13</v>
      </c>
    </row>
    <row r="21" spans="1:8">
      <c r="A21" s="84">
        <v>46248</v>
      </c>
      <c r="B21" s="7" t="s">
        <v>122</v>
      </c>
      <c r="C21" s="30" t="s">
        <v>62</v>
      </c>
      <c r="D21" s="5" t="s">
        <v>63</v>
      </c>
      <c r="E21" s="5" t="str">
        <f>CONCATENATE(Table410791216[[#This Row],[Product Name]]," ",Table410791216[[#This Row],[Brand Name]])</f>
        <v>Camping Tent Coleman</v>
      </c>
      <c r="F21" s="37">
        <v>200</v>
      </c>
      <c r="G21" s="5">
        <v>10</v>
      </c>
      <c r="H21" s="9" t="s">
        <v>24</v>
      </c>
    </row>
    <row r="22" spans="1:8">
      <c r="A22" s="83">
        <v>46156</v>
      </c>
      <c r="B22" s="6" t="s">
        <v>131</v>
      </c>
      <c r="C22" s="29" t="s">
        <v>65</v>
      </c>
      <c r="D22" s="4" t="s">
        <v>66</v>
      </c>
      <c r="E22" s="4" t="str">
        <f>CONCATENATE(Table410791216[[#This Row],[Product Name]]," ",Table410791216[[#This Row],[Brand Name]])</f>
        <v>Camera Nikon</v>
      </c>
      <c r="F22" s="36">
        <v>700</v>
      </c>
      <c r="G22" s="4">
        <v>50</v>
      </c>
      <c r="H22" s="8" t="s">
        <v>9</v>
      </c>
    </row>
    <row r="23" spans="1:8">
      <c r="A23" s="84">
        <v>46031</v>
      </c>
      <c r="B23" s="7" t="s">
        <v>127</v>
      </c>
      <c r="C23" s="30" t="s">
        <v>68</v>
      </c>
      <c r="D23" s="5" t="s">
        <v>69</v>
      </c>
      <c r="E23" s="5" t="str">
        <f>CONCATENATE(Table410791216[[#This Row],[Product Name]]," ",Table410791216[[#This Row],[Brand Name]])</f>
        <v>Microwave Panasonic</v>
      </c>
      <c r="F23" s="37">
        <v>80</v>
      </c>
      <c r="G23" s="5">
        <v>20</v>
      </c>
      <c r="H23" s="9" t="s">
        <v>17</v>
      </c>
    </row>
    <row r="24" spans="1:8">
      <c r="A24" s="83">
        <v>46222</v>
      </c>
      <c r="B24" s="6" t="s">
        <v>132</v>
      </c>
      <c r="C24" s="29" t="s">
        <v>71</v>
      </c>
      <c r="D24" s="4" t="s">
        <v>72</v>
      </c>
      <c r="E24" s="4" t="str">
        <f>CONCATENATE(Table410791216[[#This Row],[Product Name]]," ",Table410791216[[#This Row],[Brand Name]])</f>
        <v>Fitness Tracker Xiaomi</v>
      </c>
      <c r="F24" s="36">
        <v>150</v>
      </c>
      <c r="G24" s="4">
        <v>30</v>
      </c>
      <c r="H24" s="8" t="s">
        <v>9</v>
      </c>
    </row>
    <row r="25" spans="1:8">
      <c r="A25" s="83">
        <v>46294</v>
      </c>
      <c r="B25" s="6" t="s">
        <v>127</v>
      </c>
      <c r="C25" s="29" t="s">
        <v>19</v>
      </c>
      <c r="D25" s="4" t="s">
        <v>74</v>
      </c>
      <c r="E25" s="4" t="str">
        <f>CONCATENATE(Table410791216[[#This Row],[Product Name]]," ",Table410791216[[#This Row],[Brand Name]])</f>
        <v>Smartphone Google</v>
      </c>
      <c r="F25" s="36">
        <v>800</v>
      </c>
      <c r="G25" s="4">
        <v>45</v>
      </c>
      <c r="H25" s="8" t="s">
        <v>9</v>
      </c>
    </row>
    <row r="26" spans="1:8">
      <c r="A26" s="84">
        <v>46176</v>
      </c>
      <c r="B26" s="7" t="s">
        <v>127</v>
      </c>
      <c r="C26" s="30" t="s">
        <v>59</v>
      </c>
      <c r="D26" s="5" t="s">
        <v>76</v>
      </c>
      <c r="E26" s="5" t="str">
        <f>CONCATENATE(Table410791216[[#This Row],[Product Name]]," ",Table410791216[[#This Row],[Brand Name]])</f>
        <v>Sunglasses Ray-Ban</v>
      </c>
      <c r="F26" s="37">
        <v>130</v>
      </c>
      <c r="G26" s="5">
        <v>25</v>
      </c>
      <c r="H26" s="9" t="s">
        <v>13</v>
      </c>
    </row>
    <row r="27" spans="1:8">
      <c r="A27" s="83">
        <v>46214</v>
      </c>
      <c r="B27" s="6" t="s">
        <v>127</v>
      </c>
      <c r="C27" s="29" t="s">
        <v>32</v>
      </c>
      <c r="D27" s="4" t="s">
        <v>78</v>
      </c>
      <c r="E27" s="4" t="str">
        <f>CONCATENATE(Table410791216[[#This Row],[Product Name]]," ",Table410791216[[#This Row],[Brand Name]])</f>
        <v>Blender Vitamix</v>
      </c>
      <c r="F27" s="36">
        <v>400</v>
      </c>
      <c r="G27" s="4">
        <v>40</v>
      </c>
      <c r="H27" s="8" t="s">
        <v>17</v>
      </c>
    </row>
    <row r="28" spans="1:8">
      <c r="A28" s="84">
        <v>46128</v>
      </c>
      <c r="B28" s="7" t="s">
        <v>128</v>
      </c>
      <c r="C28" s="30" t="s">
        <v>26</v>
      </c>
      <c r="D28" s="5" t="s">
        <v>49</v>
      </c>
      <c r="E28" s="5" t="str">
        <f>CONCATENATE(Table410791216[[#This Row],[Product Name]]," ",Table410791216[[#This Row],[Brand Name]])</f>
        <v>Headphones Bose</v>
      </c>
      <c r="F28" s="37">
        <v>230</v>
      </c>
      <c r="G28" s="5">
        <v>20</v>
      </c>
      <c r="H28" s="9" t="s">
        <v>9</v>
      </c>
    </row>
    <row r="29" spans="1:8">
      <c r="A29" s="83">
        <v>46088</v>
      </c>
      <c r="B29" s="6" t="s">
        <v>127</v>
      </c>
      <c r="C29" s="29" t="s">
        <v>80</v>
      </c>
      <c r="D29" s="4" t="s">
        <v>81</v>
      </c>
      <c r="E29" s="4" t="str">
        <f>CONCATENATE(Table410791216[[#This Row],[Product Name]]," ",Table410791216[[#This Row],[Brand Name]])</f>
        <v>Dress Zara</v>
      </c>
      <c r="F29" s="36">
        <v>60</v>
      </c>
      <c r="G29" s="4">
        <v>30</v>
      </c>
      <c r="H29" s="8" t="s">
        <v>13</v>
      </c>
    </row>
    <row r="30" spans="1:8">
      <c r="A30" s="84">
        <v>46125</v>
      </c>
      <c r="B30" s="7" t="s">
        <v>127</v>
      </c>
      <c r="C30" s="30" t="s">
        <v>83</v>
      </c>
      <c r="D30" s="5" t="s">
        <v>84</v>
      </c>
      <c r="E30" s="5" t="str">
        <f>CONCATENATE(Table410791216[[#This Row],[Product Name]]," ",Table410791216[[#This Row],[Brand Name]])</f>
        <v>Toaster Hamilton</v>
      </c>
      <c r="F30" s="37">
        <v>40</v>
      </c>
      <c r="G30" s="5">
        <v>10</v>
      </c>
      <c r="H30" s="9" t="s">
        <v>17</v>
      </c>
    </row>
    <row r="31" spans="1:8">
      <c r="A31" s="83">
        <v>46166</v>
      </c>
      <c r="B31" s="6" t="s">
        <v>127</v>
      </c>
      <c r="C31" s="29" t="s">
        <v>71</v>
      </c>
      <c r="D31" s="4" t="s">
        <v>86</v>
      </c>
      <c r="E31" s="4" t="str">
        <f>CONCATENATE(Table410791216[[#This Row],[Product Name]]," ",Table410791216[[#This Row],[Brand Name]])</f>
        <v>Fitness Tracker Garmin</v>
      </c>
      <c r="F31" s="36">
        <v>130</v>
      </c>
      <c r="G31" s="4">
        <v>5</v>
      </c>
      <c r="H31" s="8" t="s">
        <v>9</v>
      </c>
    </row>
    <row r="32" spans="1:8">
      <c r="A32" s="84">
        <v>46358</v>
      </c>
      <c r="B32" s="7" t="s">
        <v>127</v>
      </c>
      <c r="C32" s="30" t="s">
        <v>88</v>
      </c>
      <c r="D32" s="5" t="s">
        <v>89</v>
      </c>
      <c r="E32" s="5" t="str">
        <f>CONCATENATE(Table410791216[[#This Row],[Product Name]]," ",Table410791216[[#This Row],[Brand Name]])</f>
        <v>Jeans Levi's</v>
      </c>
      <c r="F32" s="37">
        <v>50</v>
      </c>
      <c r="G32" s="5">
        <v>50</v>
      </c>
      <c r="H32" s="9" t="s">
        <v>13</v>
      </c>
    </row>
    <row r="33" spans="1:8">
      <c r="A33" s="84">
        <v>46212</v>
      </c>
      <c r="B33" s="7" t="s">
        <v>133</v>
      </c>
      <c r="C33" s="30" t="s">
        <v>91</v>
      </c>
      <c r="D33" s="5" t="s">
        <v>92</v>
      </c>
      <c r="E33" s="5" t="str">
        <f>CONCATENATE(Table410791216[[#This Row],[Product Name]]," ",Table410791216[[#This Row],[Brand Name]])</f>
        <v>Watch Casio</v>
      </c>
      <c r="F33" s="37">
        <v>100</v>
      </c>
      <c r="G33" s="5">
        <v>20</v>
      </c>
      <c r="H33" s="9" t="s">
        <v>53</v>
      </c>
    </row>
  </sheetData>
  <conditionalFormatting sqref="F1:F33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{AA5747DC-CCD3-458C-A741-5AC5D8AF2317}</x14:id>
        </ext>
      </extLst>
    </cfRule>
  </conditionalFormatting>
  <conditionalFormatting sqref="H1:H33">
    <cfRule type="cellIs" dxfId="0" priority="5" operator="equal">
      <formula>"Electronics"</formula>
    </cfRule>
    <cfRule type="colorScale" priority="6">
      <colorScale>
        <cfvo type="min"/>
        <cfvo type="max"/>
        <color theme="7" tint="0.39997558519241921"/>
        <color rgb="FFFFEF9C"/>
      </colorScale>
    </cfRule>
    <cfRule type="cellIs" priority="7" operator="equal">
      <formula>"Electronics"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5747DC-CCD3-458C-A741-5AC5D8AF23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F1:F33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D96C5-6883-4408-A3C3-EB16DAA98098}">
  <dimension ref="E1:W111"/>
  <sheetViews>
    <sheetView topLeftCell="A43" workbookViewId="0">
      <selection activeCell="I8" sqref="I8"/>
    </sheetView>
  </sheetViews>
  <sheetFormatPr defaultRowHeight="12.75"/>
  <cols>
    <col min="8" max="8" width="11.140625" customWidth="1"/>
  </cols>
  <sheetData>
    <row r="1" spans="5:22" ht="13.5" thickBot="1"/>
    <row r="2" spans="5:22" ht="18.75" thickBot="1">
      <c r="K2" s="78" t="s">
        <v>163</v>
      </c>
      <c r="L2" s="79"/>
      <c r="M2" s="79"/>
      <c r="N2" s="79"/>
      <c r="O2" s="80"/>
    </row>
    <row r="4" spans="5:22" ht="17.25">
      <c r="F4" s="17" t="s">
        <v>108</v>
      </c>
    </row>
    <row r="5" spans="5:22" ht="13.5" thickBot="1">
      <c r="F5" s="18"/>
    </row>
    <row r="6" spans="5:22">
      <c r="F6" s="62" t="s">
        <v>93</v>
      </c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6"/>
    </row>
    <row r="7" spans="5:22" ht="13.5" thickBot="1">
      <c r="F7" s="63"/>
      <c r="V7" s="48"/>
    </row>
    <row r="8" spans="5:22" ht="13.5" thickBot="1">
      <c r="F8" s="64"/>
      <c r="G8" s="21" t="s">
        <v>96</v>
      </c>
      <c r="H8" s="25"/>
      <c r="I8" s="26">
        <v>0</v>
      </c>
      <c r="V8" s="48"/>
    </row>
    <row r="9" spans="5:22">
      <c r="F9" s="57"/>
      <c r="V9" s="48"/>
    </row>
    <row r="10" spans="5:22">
      <c r="F10" s="47"/>
      <c r="V10" s="48"/>
    </row>
    <row r="11" spans="5:22">
      <c r="F11" s="57"/>
      <c r="V11" s="48"/>
    </row>
    <row r="12" spans="5:22" ht="15.75">
      <c r="E12" s="22"/>
      <c r="F12" s="65" t="s">
        <v>98</v>
      </c>
      <c r="G12" s="22"/>
      <c r="H12" s="22"/>
      <c r="I12" s="22"/>
      <c r="J12" s="22"/>
      <c r="K12" s="22"/>
      <c r="L12" s="22"/>
      <c r="M12" s="22"/>
      <c r="N12" s="22"/>
      <c r="V12" s="48"/>
    </row>
    <row r="13" spans="5:22" ht="15">
      <c r="E13" s="22"/>
      <c r="F13" s="65" t="s">
        <v>94</v>
      </c>
      <c r="G13" s="22"/>
      <c r="H13" s="22"/>
      <c r="I13" s="22"/>
      <c r="J13" s="22"/>
      <c r="K13" s="22"/>
      <c r="L13" s="22"/>
      <c r="M13" s="22"/>
      <c r="N13" s="22"/>
      <c r="V13" s="48"/>
    </row>
    <row r="14" spans="5:22" ht="15.75">
      <c r="E14" s="22"/>
      <c r="F14" s="66" t="s">
        <v>99</v>
      </c>
      <c r="G14" s="22"/>
      <c r="H14" s="22"/>
      <c r="I14" s="22"/>
      <c r="J14" s="22"/>
      <c r="K14" s="22"/>
      <c r="L14" s="22"/>
      <c r="M14" s="22"/>
      <c r="N14" s="22"/>
      <c r="V14" s="48"/>
    </row>
    <row r="15" spans="5:22" ht="15.75">
      <c r="E15" s="22"/>
      <c r="F15" s="66" t="s">
        <v>100</v>
      </c>
      <c r="G15" s="22"/>
      <c r="H15" s="22"/>
      <c r="I15" s="22"/>
      <c r="J15" s="22"/>
      <c r="K15" s="22"/>
      <c r="L15" s="22"/>
      <c r="M15" s="22"/>
      <c r="N15" s="22"/>
      <c r="V15" s="48"/>
    </row>
    <row r="16" spans="5:22" ht="15">
      <c r="E16" s="22"/>
      <c r="F16" s="66" t="s">
        <v>97</v>
      </c>
      <c r="G16" s="22"/>
      <c r="H16" s="22"/>
      <c r="I16" s="22"/>
      <c r="J16" s="22"/>
      <c r="K16" s="22"/>
      <c r="L16" s="22"/>
      <c r="M16" s="22"/>
      <c r="N16" s="22"/>
      <c r="V16" s="48"/>
    </row>
    <row r="17" spans="5:23">
      <c r="F17" s="47"/>
      <c r="V17" s="48"/>
    </row>
    <row r="18" spans="5:23" ht="13.5" thickBot="1">
      <c r="F18" s="67" t="s">
        <v>95</v>
      </c>
      <c r="G18" s="50"/>
      <c r="H18" s="68" t="s">
        <v>101</v>
      </c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1"/>
    </row>
    <row r="19" spans="5:23">
      <c r="F19" s="16"/>
    </row>
    <row r="20" spans="5:23" ht="17.25">
      <c r="F20" s="17" t="s">
        <v>118</v>
      </c>
    </row>
    <row r="21" spans="5:23" ht="13.5" thickBot="1">
      <c r="F21" s="18"/>
    </row>
    <row r="22" spans="5:23" ht="15">
      <c r="E22" s="22"/>
      <c r="F22" s="69" t="s">
        <v>102</v>
      </c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45"/>
      <c r="S22" s="45"/>
      <c r="T22" s="45"/>
      <c r="U22" s="45"/>
      <c r="V22" s="45"/>
      <c r="W22" s="46"/>
    </row>
    <row r="23" spans="5:23" ht="15.75" thickBot="1">
      <c r="E23" s="22"/>
      <c r="F23" s="71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W23" s="48"/>
    </row>
    <row r="24" spans="5:23" ht="15.75" thickBot="1">
      <c r="E24" s="22"/>
      <c r="F24" s="61"/>
      <c r="G24" s="21" t="s">
        <v>109</v>
      </c>
      <c r="H24" s="23"/>
      <c r="I24" s="23"/>
      <c r="J24" s="24">
        <v>0</v>
      </c>
      <c r="K24" s="22"/>
      <c r="L24" s="22"/>
      <c r="M24" s="22"/>
      <c r="N24" s="22"/>
      <c r="O24" s="22"/>
      <c r="P24" s="22"/>
      <c r="Q24" s="22"/>
      <c r="W24" s="48"/>
    </row>
    <row r="25" spans="5:23" ht="15">
      <c r="E25" s="22"/>
      <c r="F25" s="65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W25" s="48"/>
    </row>
    <row r="26" spans="5:23" ht="15">
      <c r="E26" s="22"/>
      <c r="F26" s="7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W26" s="48"/>
    </row>
    <row r="27" spans="5:23" ht="15">
      <c r="E27" s="22"/>
      <c r="F27" s="65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W27" s="48"/>
    </row>
    <row r="28" spans="5:23" ht="15.75">
      <c r="E28" s="22"/>
      <c r="F28" s="65" t="s">
        <v>112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W28" s="48"/>
    </row>
    <row r="29" spans="5:23" ht="15">
      <c r="E29" s="22"/>
      <c r="F29" s="65" t="s">
        <v>103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W29" s="48"/>
    </row>
    <row r="30" spans="5:23" ht="15.75">
      <c r="E30" s="22"/>
      <c r="F30" s="66" t="s">
        <v>113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W30" s="48"/>
    </row>
    <row r="31" spans="5:23" ht="15">
      <c r="E31" s="22"/>
      <c r="F31" s="73" t="s">
        <v>114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W31" s="48"/>
    </row>
    <row r="32" spans="5:23" ht="15">
      <c r="E32" s="22"/>
      <c r="F32" s="74" t="s">
        <v>104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W32" s="48"/>
    </row>
    <row r="33" spans="5:23" ht="15">
      <c r="E33" s="22"/>
      <c r="F33" s="74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W33" s="48"/>
    </row>
    <row r="34" spans="5:23" ht="15">
      <c r="E34" s="22"/>
      <c r="F34" s="66" t="s">
        <v>105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W34" s="48"/>
    </row>
    <row r="35" spans="5:23" ht="15">
      <c r="E35" s="22"/>
      <c r="F35" s="66" t="s">
        <v>110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W35" s="48"/>
    </row>
    <row r="36" spans="5:23" ht="15.75">
      <c r="E36" s="22"/>
      <c r="F36" s="66" t="s">
        <v>115</v>
      </c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W36" s="48"/>
    </row>
    <row r="37" spans="5:23" ht="15">
      <c r="E37" s="22"/>
      <c r="F37" s="61" t="s">
        <v>111</v>
      </c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W37" s="48"/>
    </row>
    <row r="38" spans="5:23" ht="15.75">
      <c r="E38" s="22"/>
      <c r="F38" s="75" t="s">
        <v>106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W38" s="48"/>
    </row>
    <row r="39" spans="5:23" ht="15">
      <c r="E39" s="22"/>
      <c r="F39" s="65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W39" s="48"/>
    </row>
    <row r="40" spans="5:23" ht="15.75">
      <c r="E40" s="22"/>
      <c r="F40" s="76" t="s">
        <v>116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W40" s="48"/>
    </row>
    <row r="41" spans="5:23" ht="15.75">
      <c r="E41" s="22"/>
      <c r="F41" s="76" t="s">
        <v>117</v>
      </c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W41" s="48"/>
    </row>
    <row r="42" spans="5:23" ht="15">
      <c r="E42" s="22"/>
      <c r="F42" s="65" t="s">
        <v>107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W42" s="48"/>
    </row>
    <row r="43" spans="5:23" ht="15.75" thickBot="1">
      <c r="E43" s="22"/>
      <c r="F43" s="81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50"/>
      <c r="S43" s="50"/>
      <c r="T43" s="50"/>
      <c r="U43" s="50"/>
      <c r="V43" s="50"/>
      <c r="W43" s="51"/>
    </row>
    <row r="44" spans="5:23" ht="18">
      <c r="F44" s="27" t="s">
        <v>119</v>
      </c>
    </row>
    <row r="45" spans="5:23" ht="13.5" thickBot="1"/>
    <row r="46" spans="5:23" ht="15">
      <c r="F46" s="60" t="s">
        <v>120</v>
      </c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6"/>
    </row>
    <row r="47" spans="5:23">
      <c r="F47" s="47"/>
      <c r="W47" s="48"/>
    </row>
    <row r="48" spans="5:23">
      <c r="F48" s="47"/>
      <c r="W48" s="48"/>
    </row>
    <row r="49" spans="6:23">
      <c r="F49" s="47"/>
      <c r="W49" s="48"/>
    </row>
    <row r="50" spans="6:23" ht="15">
      <c r="F50" s="61" t="s">
        <v>121</v>
      </c>
      <c r="W50" s="48"/>
    </row>
    <row r="51" spans="6:23">
      <c r="F51" s="47"/>
      <c r="W51" s="48"/>
    </row>
    <row r="52" spans="6:23">
      <c r="F52" s="47"/>
      <c r="W52" s="48"/>
    </row>
    <row r="53" spans="6:23" ht="13.5" thickBot="1">
      <c r="F53" s="49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1"/>
    </row>
    <row r="54" spans="6:23" ht="18">
      <c r="F54" s="27" t="s">
        <v>162</v>
      </c>
    </row>
    <row r="55" spans="6:23" ht="15.75">
      <c r="F55" s="22" t="s">
        <v>147</v>
      </c>
    </row>
    <row r="56" spans="6:23" ht="15">
      <c r="F56" s="22"/>
    </row>
    <row r="57" spans="6:23" ht="15.75" thickBot="1">
      <c r="F57" s="22"/>
    </row>
    <row r="58" spans="6:23">
      <c r="F58" s="43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6"/>
    </row>
    <row r="59" spans="6:23" ht="25.5">
      <c r="F59" s="54"/>
      <c r="G59" s="40" t="s">
        <v>135</v>
      </c>
      <c r="H59" s="40" t="s">
        <v>136</v>
      </c>
      <c r="I59" s="40" t="s">
        <v>137</v>
      </c>
      <c r="W59" s="48"/>
    </row>
    <row r="60" spans="6:23">
      <c r="F60" s="55"/>
      <c r="G60" s="41">
        <v>17</v>
      </c>
      <c r="H60" s="41">
        <v>25</v>
      </c>
      <c r="I60" s="16" t="s">
        <v>138</v>
      </c>
      <c r="W60" s="48"/>
    </row>
    <row r="61" spans="6:23">
      <c r="F61" s="55"/>
      <c r="G61" s="41">
        <v>12</v>
      </c>
      <c r="H61" s="41">
        <v>34</v>
      </c>
      <c r="I61" s="16" t="s">
        <v>139</v>
      </c>
      <c r="W61" s="48"/>
    </row>
    <row r="62" spans="6:23">
      <c r="F62" s="47"/>
      <c r="W62" s="48"/>
    </row>
    <row r="63" spans="6:23" ht="17.25">
      <c r="F63" s="56"/>
      <c r="W63" s="48"/>
    </row>
    <row r="64" spans="6:23" ht="17.25">
      <c r="F64" s="57"/>
      <c r="G64" s="42" t="s">
        <v>140</v>
      </c>
      <c r="W64" s="48"/>
    </row>
    <row r="65" spans="6:23">
      <c r="F65" s="58"/>
      <c r="G65" s="18"/>
      <c r="W65" s="48"/>
    </row>
    <row r="66" spans="6:23">
      <c r="F66" s="58"/>
      <c r="G66" s="39" t="s">
        <v>141</v>
      </c>
      <c r="W66" s="48"/>
    </row>
    <row r="67" spans="6:23">
      <c r="F67" s="58"/>
      <c r="G67" s="39" t="s">
        <v>142</v>
      </c>
      <c r="W67" s="48"/>
    </row>
    <row r="68" spans="6:23">
      <c r="F68" s="47"/>
      <c r="G68" s="39" t="s">
        <v>143</v>
      </c>
      <c r="W68" s="48"/>
    </row>
    <row r="69" spans="6:23">
      <c r="F69" s="47"/>
      <c r="W69" s="48"/>
    </row>
    <row r="70" spans="6:23">
      <c r="F70" s="47"/>
      <c r="W70" s="48"/>
    </row>
    <row r="71" spans="6:23">
      <c r="F71" s="47"/>
      <c r="H71" s="59" t="s">
        <v>146</v>
      </c>
      <c r="W71" s="48"/>
    </row>
    <row r="72" spans="6:23">
      <c r="F72" s="47"/>
      <c r="I72" t="s">
        <v>144</v>
      </c>
      <c r="W72" s="48"/>
    </row>
    <row r="73" spans="6:23" ht="13.5" thickBot="1">
      <c r="F73" s="49"/>
      <c r="G73" s="50"/>
      <c r="H73" s="50"/>
      <c r="I73" s="50" t="s">
        <v>145</v>
      </c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1"/>
    </row>
    <row r="76" spans="6:23" ht="18">
      <c r="F76" s="27" t="s">
        <v>151</v>
      </c>
    </row>
    <row r="77" spans="6:23" ht="18">
      <c r="F77" s="27"/>
    </row>
    <row r="78" spans="6:23" ht="18.75" thickBot="1">
      <c r="F78" s="27"/>
    </row>
    <row r="79" spans="6:23">
      <c r="F79" s="53" t="s">
        <v>150</v>
      </c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6"/>
    </row>
    <row r="80" spans="6:23">
      <c r="F80" s="47"/>
      <c r="G80" t="s">
        <v>148</v>
      </c>
      <c r="W80" s="48"/>
    </row>
    <row r="81" spans="6:23">
      <c r="F81" s="47"/>
      <c r="G81" t="s">
        <v>149</v>
      </c>
      <c r="W81" s="48"/>
    </row>
    <row r="82" spans="6:23">
      <c r="F82" s="47"/>
      <c r="W82" s="48"/>
    </row>
    <row r="83" spans="6:23" ht="17.25">
      <c r="F83" s="47"/>
      <c r="G83" s="17" t="s">
        <v>140</v>
      </c>
      <c r="W83" s="48"/>
    </row>
    <row r="84" spans="6:23">
      <c r="F84" s="47"/>
      <c r="G84" s="18"/>
      <c r="W84" s="48"/>
    </row>
    <row r="85" spans="6:23">
      <c r="F85" s="47"/>
      <c r="G85" s="19" t="s">
        <v>160</v>
      </c>
      <c r="W85" s="48"/>
    </row>
    <row r="86" spans="6:23" ht="13.5" thickBot="1">
      <c r="F86" s="49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1"/>
    </row>
    <row r="87" spans="6:23" ht="17.25">
      <c r="G87" s="17" t="s">
        <v>155</v>
      </c>
      <c r="I87" t="s">
        <v>161</v>
      </c>
    </row>
    <row r="88" spans="6:23" ht="18">
      <c r="F88" s="27" t="s">
        <v>152</v>
      </c>
      <c r="G88" s="18"/>
    </row>
    <row r="89" spans="6:23" ht="13.5" thickBot="1">
      <c r="G89" s="19"/>
    </row>
    <row r="90" spans="6:23">
      <c r="F90" s="43"/>
      <c r="G90" s="52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6"/>
    </row>
    <row r="91" spans="6:23">
      <c r="F91" s="47"/>
      <c r="G91" s="19" t="s">
        <v>153</v>
      </c>
      <c r="W91" s="48"/>
    </row>
    <row r="92" spans="6:23">
      <c r="F92" s="47"/>
      <c r="G92" s="19" t="s">
        <v>154</v>
      </c>
      <c r="W92" s="48"/>
    </row>
    <row r="93" spans="6:23">
      <c r="F93" s="47"/>
      <c r="W93" s="48"/>
    </row>
    <row r="94" spans="6:23" ht="17.25">
      <c r="F94" s="47"/>
      <c r="G94" s="17" t="s">
        <v>155</v>
      </c>
      <c r="W94" s="48"/>
    </row>
    <row r="95" spans="6:23">
      <c r="F95" s="47"/>
      <c r="G95" s="18"/>
      <c r="W95" s="48"/>
    </row>
    <row r="96" spans="6:23">
      <c r="F96" s="47"/>
      <c r="G96" s="19" t="s">
        <v>156</v>
      </c>
      <c r="W96" s="48"/>
    </row>
    <row r="97" spans="6:23">
      <c r="F97" s="47"/>
      <c r="W97" s="48"/>
    </row>
    <row r="98" spans="6:23" ht="13.5" thickBot="1">
      <c r="F98" s="49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1"/>
    </row>
    <row r="99" spans="6:23" ht="18">
      <c r="F99" s="27" t="s">
        <v>157</v>
      </c>
    </row>
    <row r="100" spans="6:23" ht="13.5" thickBot="1"/>
    <row r="101" spans="6:23" ht="17.25">
      <c r="F101" s="43"/>
      <c r="G101" s="44" t="s">
        <v>140</v>
      </c>
      <c r="H101" s="45"/>
      <c r="I101" s="45"/>
      <c r="J101" s="45"/>
      <c r="K101" s="45"/>
      <c r="L101" s="45"/>
      <c r="M101" s="45"/>
      <c r="N101" s="45"/>
      <c r="O101" s="45"/>
      <c r="P101" s="45"/>
      <c r="Q101" s="46"/>
    </row>
    <row r="102" spans="6:23">
      <c r="F102" s="47"/>
      <c r="G102" s="18"/>
      <c r="Q102" s="48"/>
    </row>
    <row r="103" spans="6:23">
      <c r="F103" s="47"/>
      <c r="G103" s="19" t="s">
        <v>158</v>
      </c>
      <c r="Q103" s="48"/>
    </row>
    <row r="104" spans="6:23">
      <c r="F104" s="47"/>
      <c r="G104" s="19" t="s">
        <v>159</v>
      </c>
      <c r="Q104" s="48"/>
    </row>
    <row r="105" spans="6:23">
      <c r="F105" s="47"/>
      <c r="Q105" s="48"/>
    </row>
    <row r="106" spans="6:23" ht="17.25">
      <c r="F106" s="47"/>
      <c r="G106" s="17" t="s">
        <v>155</v>
      </c>
      <c r="Q106" s="48"/>
    </row>
    <row r="107" spans="6:23">
      <c r="F107" s="47"/>
      <c r="G107" s="18"/>
      <c r="Q107" s="48"/>
    </row>
    <row r="108" spans="6:23">
      <c r="F108" s="47"/>
      <c r="G108" s="19" t="s">
        <v>165</v>
      </c>
      <c r="Q108" s="48"/>
    </row>
    <row r="109" spans="6:23">
      <c r="F109" s="47"/>
      <c r="G109" t="s">
        <v>164</v>
      </c>
      <c r="Q109" s="48"/>
    </row>
    <row r="110" spans="6:23">
      <c r="F110" s="47"/>
      <c r="Q110" s="48"/>
    </row>
    <row r="111" spans="6:23" ht="13.5" thickBot="1">
      <c r="F111" s="49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AEF4BF-48A7-458B-B9D0-F0F786AAE8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Dataset</vt:lpstr>
      <vt:lpstr>1.Handling Missing values</vt:lpstr>
      <vt:lpstr>2. Corrected Inconsistent data</vt:lpstr>
      <vt:lpstr>3.Removing Duplicates</vt:lpstr>
      <vt:lpstr>4.Spliting and Merging Column</vt:lpstr>
      <vt:lpstr>5. Number Formating</vt:lpstr>
      <vt:lpstr>6.Conditional Formating</vt:lpstr>
      <vt:lpstr>Cleaned Data Set</vt:lpstr>
      <vt:lpstr>Summary &amp; 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D</dc:creator>
  <cp:lastModifiedBy>Ryan D</cp:lastModifiedBy>
  <dcterms:created xsi:type="dcterms:W3CDTF">2026-06-27T14:14:22Z</dcterms:created>
  <dcterms:modified xsi:type="dcterms:W3CDTF">2026-06-29T07:42:44Z</dcterms:modified>
</cp:coreProperties>
</file>